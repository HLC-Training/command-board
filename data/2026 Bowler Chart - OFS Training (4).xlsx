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C:\Users\212668250\AppData\Local\Box\Box Edit\Documents\RHzjmFHLVEyQDGFyJJeSZw==\"/>
    </mc:Choice>
  </mc:AlternateContent>
  <xr:revisionPtr revIDLastSave="143" documentId="13_ncr:1_{14BCFE1C-6BC5-40D2-B51A-6B482E3564E6}" xr6:coauthVersionLast="47" xr6:coauthVersionMax="47" xr10:uidLastSave="{7EB2313E-9382-4CCC-805B-D8AC1CA536C9}"/>
  <bookViews>
    <workbookView xWindow="57480" yWindow="-120" windowWidth="29040" windowHeight="15840" tabRatio="601" xr2:uid="{8476BB21-6D10-4BB9-B6CE-FEFD481D0662}"/>
  </bookViews>
  <sheets>
    <sheet name="Bowler L1 Training" sheetId="16" r:id="rId1"/>
    <sheet name="Future ideas" sheetId="20" r:id="rId2"/>
    <sheet name="Sheet2" sheetId="17" state="hidden" r:id="rId3"/>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 i="16" l="1"/>
  <c r="T30" i="16"/>
  <c r="P30" i="16"/>
  <c r="X27" i="16"/>
  <c r="T27" i="16"/>
  <c r="P27" i="16"/>
  <c r="X24" i="16"/>
  <c r="T24" i="16"/>
  <c r="P24" i="16"/>
  <c r="G22" i="16"/>
  <c r="L30" i="16"/>
  <c r="L27" i="16"/>
  <c r="G25" i="16" s="1"/>
  <c r="L69" i="16"/>
  <c r="G67" i="16" s="1"/>
  <c r="G64" i="16"/>
  <c r="L66" i="16"/>
  <c r="X65" i="16"/>
  <c r="T65" i="16"/>
  <c r="P65" i="16"/>
  <c r="L65" i="16"/>
  <c r="L63" i="16" l="1"/>
  <c r="F61" i="16"/>
  <c r="P61" i="16"/>
  <c r="X63" i="16"/>
  <c r="T63" i="16"/>
  <c r="P63" i="16"/>
  <c r="P54" i="16"/>
  <c r="T54" i="16" s="1"/>
  <c r="X54" i="16" s="1"/>
  <c r="X12" i="16"/>
  <c r="X11" i="16"/>
  <c r="X10" i="16"/>
  <c r="E10" i="16" s="1"/>
  <c r="T11" i="16"/>
  <c r="T12" i="16"/>
  <c r="P11" i="16"/>
  <c r="P12" i="16"/>
  <c r="L11" i="16"/>
  <c r="F10" i="16" s="1"/>
  <c r="L12" i="16"/>
  <c r="G10" i="16" s="1"/>
  <c r="X5" i="16"/>
  <c r="X6" i="16"/>
  <c r="T5" i="16"/>
  <c r="T6" i="16"/>
  <c r="P5" i="16"/>
  <c r="P6" i="16"/>
  <c r="L5" i="16"/>
  <c r="L6" i="16"/>
  <c r="G4" i="16"/>
  <c r="X4" i="16"/>
  <c r="T4" i="16"/>
  <c r="P4" i="16"/>
  <c r="L4" i="16"/>
  <c r="E4" i="16" s="1"/>
  <c r="X67" i="16"/>
  <c r="T67" i="16"/>
  <c r="P67" i="16"/>
  <c r="L67" i="16"/>
  <c r="E67" i="16" s="1"/>
  <c r="E52" i="16"/>
  <c r="G52" i="16"/>
  <c r="X64" i="16"/>
  <c r="T64" i="16"/>
  <c r="P64" i="16"/>
  <c r="L64" i="16"/>
  <c r="T61" i="16"/>
  <c r="L61" i="16"/>
  <c r="E64" i="16" l="1"/>
  <c r="E61" i="16"/>
  <c r="X68" i="16"/>
  <c r="T68" i="16"/>
  <c r="P68" i="16"/>
  <c r="L68" i="16" l="1"/>
  <c r="F67" i="16" s="1"/>
  <c r="T10" i="16"/>
  <c r="P10" i="16"/>
  <c r="L10" i="16"/>
  <c r="F64" i="16"/>
  <c r="N95" i="16" l="1"/>
  <c r="N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 Wright</author>
    <author>tc={160740E7-DFEB-4450-B5C5-A17286B215D6}</author>
    <author>Philip Ganssmann</author>
    <author>tc={4A61949D-D058-4614-9CBE-136784BCC6E7}</author>
    <author>tc={40736F15-DF93-4810-BC49-A79E1FB56ED1}</author>
  </authors>
  <commentList>
    <comment ref="F7" authorId="0" shapeId="0" xr:uid="{6BB47BF6-B4F0-44A1-B661-DC1F618CF875}">
      <text>
        <r>
          <rPr>
            <sz val="11"/>
            <color theme="1"/>
            <rFont val="Calibri"/>
            <family val="2"/>
            <scheme val="minor"/>
          </rPr>
          <t>Jen Wright:
.56 is 2025 OFS global rate
Target is for training to be 25% better than global OFS target</t>
        </r>
      </text>
    </comment>
    <comment ref="F13" authorId="1" shapeId="0" xr:uid="{160740E7-DFEB-4450-B5C5-A17286B215D6}">
      <text>
        <t>[Threaded comment]
Your version of Excel allows you to read this threaded comment; however, any edits to it will get removed if the file is opened in a newer version of Excel. Learn more: https://go.microsoft.com/fwlink/?linkid=870924
Comment:
    90% RA ATS closure rate all sites by YE</t>
      </text>
    </comment>
    <comment ref="I24" authorId="2" shapeId="0" xr:uid="{295EE1B2-A25B-412E-A639-7B1259576743}">
      <text>
        <r>
          <rPr>
            <sz val="11"/>
            <color theme="1"/>
            <rFont val="Calibri"/>
            <family val="2"/>
            <scheme val="minor"/>
          </rPr>
          <t>Philip Ganssmann:
2 transfered by Instructor (Carla)</t>
        </r>
      </text>
    </comment>
    <comment ref="J24" authorId="2" shapeId="0" xr:uid="{DC09360C-6AE1-46FC-ABAD-4D81C3945042}">
      <text>
        <r>
          <rPr>
            <sz val="11"/>
            <color theme="1"/>
            <rFont val="Calibri"/>
            <family val="2"/>
            <scheme val="minor"/>
          </rPr>
          <t>Philip Ganssmann:
I-CON13401 - Entry Level Gas Turbine Mark Vle - Final Exam A
I-CON13401 - Entry Level Gas Turbine Mark Vle - Final Exam B
I-CON23401 - Foundation Field Bus Advanced Training - Exam
I-CON31301 - DLN Tuning - Exam
I-CON33401 - Control System - Mark VIe - Exam</t>
        </r>
      </text>
    </comment>
    <comment ref="K24" authorId="2" shapeId="0" xr:uid="{64E9CAD9-580E-40D0-B2F1-25AC4998B65A}">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I27" authorId="2" shapeId="0" xr:uid="{90DAD1A6-212D-45E4-8528-2D901E1C0C5A}">
      <text>
        <r>
          <rPr>
            <sz val="11"/>
            <color theme="1"/>
            <rFont val="Calibri"/>
            <family val="2"/>
            <scheme val="minor"/>
          </rPr>
          <t>Philip Ganssmann:
9 transferred - but not sent to review to PLL</t>
        </r>
      </text>
    </comment>
    <comment ref="J27" authorId="2" shapeId="0" xr:uid="{7392AAE5-E54D-4232-B7DC-129B156C6F62}">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K27" authorId="2" shapeId="0" xr:uid="{76FCDDC0-41DD-4A57-9E0C-979F0DC1595C}">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L27" authorId="2" shapeId="0" xr:uid="{C1388240-DDDB-4DD1-B7FE-11B7EF9BDF13}">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C28" authorId="0" shapeId="0" xr:uid="{62BE848F-A00E-4544-8BD6-953D94ED5EF8}">
      <text>
        <r>
          <rPr>
            <sz val="11"/>
            <color theme="1"/>
            <rFont val="Calibri"/>
            <family val="2"/>
            <scheme val="minor"/>
          </rPr>
          <t>Jen Wright:
from: https://gevernova.ent.box.com/file/2108317298247</t>
        </r>
      </text>
    </comment>
    <comment ref="C34" authorId="0" shapeId="0" xr:uid="{508037C5-7575-470A-939A-71BD192D06EF}">
      <text>
        <r>
          <rPr>
            <sz val="11"/>
            <color theme="1"/>
            <rFont val="Calibri"/>
            <family val="2"/>
            <scheme val="minor"/>
          </rPr>
          <t>Jen Wright:
% of All field employees, Primary roles only, excluding new hires (Level I employees), who are &gt;70% complete in their roles.</t>
        </r>
      </text>
    </comment>
    <comment ref="C37" authorId="0" shapeId="0" xr:uid="{04C7CFAE-132D-4578-AA1A-A2AED2C7F976}">
      <text>
        <r>
          <rPr>
            <sz val="11"/>
            <color theme="1"/>
            <rFont val="Calibri"/>
            <family val="2"/>
            <scheme val="minor"/>
          </rPr>
          <t>Jen Wright:
Measured via FEP Dev Plan 60 Days before ELT End Smartsheet Report (https://app.smartsheet.com/reports/mgmjmH9c7FX3mP7FpxWm92H4xjPg3P7v32RRx461)</t>
        </r>
      </text>
    </comment>
    <comment ref="C40" authorId="0" shapeId="0" xr:uid="{81A96FEF-57F4-4F62-899B-7DDE3044B820}">
      <text>
        <r>
          <rPr>
            <sz val="11"/>
            <color theme="1"/>
            <rFont val="Calibri"/>
            <family val="2"/>
            <scheme val="minor"/>
          </rPr>
          <t>Jen Wright:
Measured via ELT Pre-Course OJT Completion Smartsheet Report (https://app.smartsheet.com/reports/CMvRgCHjGXrVPX8vQj6g6CC7GM3XchwHHfRMRH61?view=grid)</t>
        </r>
      </text>
    </comment>
    <comment ref="I42" authorId="0" shapeId="0" xr:uid="{A05FB433-A643-4D7C-BFF5-71BFC3E8211F}">
      <text>
        <r>
          <rPr>
            <sz val="11"/>
            <color theme="1"/>
            <rFont val="Calibri"/>
            <family val="2"/>
            <scheme val="minor"/>
          </rPr>
          <t>Jen Wright:
No courses started this month</t>
        </r>
      </text>
    </comment>
    <comment ref="J42" authorId="0" shapeId="0" xr:uid="{DF2937F5-01F3-48AD-A59A-11E56D5B996A}">
      <text>
        <r>
          <rPr>
            <sz val="11"/>
            <color theme="1"/>
            <rFont val="Calibri"/>
            <family val="2"/>
            <scheme val="minor"/>
          </rPr>
          <t>Jen Wright:
No courses started this month</t>
        </r>
      </text>
    </comment>
    <comment ref="C43" authorId="0" shapeId="0" xr:uid="{10FC5647-E364-4FB4-A6F5-83AB4EF2B64E}">
      <text>
        <r>
          <rPr>
            <sz val="11"/>
            <color theme="1"/>
            <rFont val="Calibri"/>
            <family val="2"/>
            <scheme val="minor"/>
          </rPr>
          <t>Jen Wright:
ELT (FE &amp; Craft) = to measured via FEP Report data (investigating issue with data feed)
Craft to Sup = TBD how to measure
Bucket Tech = TBD how to measure</t>
        </r>
      </text>
    </comment>
    <comment ref="I45" authorId="0" shapeId="0" xr:uid="{92CB74F4-09AD-4D90-AC85-52E750F91E14}">
      <text>
        <r>
          <rPr>
            <sz val="11"/>
            <color theme="1"/>
            <rFont val="Calibri"/>
            <family val="2"/>
            <scheme val="minor"/>
          </rPr>
          <t>Jen Wright:
No courses started this month</t>
        </r>
      </text>
    </comment>
    <comment ref="J45" authorId="0" shapeId="0" xr:uid="{2FC2FC6F-F183-4A7F-9DBC-D4CAC96D4C64}">
      <text>
        <r>
          <rPr>
            <sz val="11"/>
            <color theme="1"/>
            <rFont val="Calibri"/>
            <family val="2"/>
            <scheme val="minor"/>
          </rPr>
          <t>Jen Wright:
No courses started this month</t>
        </r>
      </text>
    </comment>
    <comment ref="F46" authorId="0" shapeId="0" xr:uid="{E891B715-76B2-41B3-BDA8-A3700F9F11CE}">
      <text>
        <r>
          <rPr>
            <sz val="11"/>
            <color theme="1"/>
            <rFont val="Calibri"/>
            <family val="2"/>
            <scheme val="minor"/>
          </rPr>
          <t xml:space="preserve">Jen Wright:
% of timecards approved within 12 days of the date worked
Rolling 12-week measurement </t>
        </r>
      </text>
    </comment>
    <comment ref="K48" authorId="3" shapeId="0" xr:uid="{4A61949D-D058-4614-9CBE-136784BCC6E7}">
      <text>
        <t>[Threaded comment]
Your version of Excel allows you to read this threaded comment; however, any edits to it will get removed if the file is opened in a newer version of Excel. Learn more: https://go.microsoft.com/fwlink/?linkid=870924
Comment:
    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
      </text>
    </comment>
    <comment ref="M48" authorId="4" shapeId="0" xr:uid="{40736F15-DF93-4810-BC49-A79E1FB56ED1}">
      <text>
        <t>[Threaded comment]
Your version of Excel allows you to read this threaded comment; however, any edits to it will get removed if the file is opened in a newer version of Excel. Learn more: https://go.microsoft.com/fwlink/?linkid=870924
Comment:
    https://gevernova.box.com/s/17o8hpcpubfb6lm82c157gdcde9kcful</t>
      </text>
    </comment>
    <comment ref="C49" authorId="0" shapeId="0" xr:uid="{1D261BA2-8304-49D6-B2B0-DECA97456338}">
      <text>
        <r>
          <rPr>
            <sz val="11"/>
            <color theme="1"/>
            <rFont val="Calibri"/>
            <family val="2"/>
            <scheme val="minor"/>
          </rPr>
          <t>Jen Wright:
# of qualified instructors above 75% for all of the past 3 months / avg total # of qualified instructors over the past 3 months</t>
        </r>
      </text>
    </comment>
    <comment ref="F52" authorId="0" shapeId="0" xr:uid="{B3DF712E-230B-4ACC-BC0C-C0EA167A269C}">
      <text>
        <r>
          <rPr>
            <sz val="11"/>
            <color theme="1"/>
            <rFont val="Calibri"/>
            <family val="2"/>
            <scheme val="minor"/>
          </rPr>
          <t>Jen Wright:
Tracking cumulatively across the year.
Monthly number is the count count of Borrowed Instructors added that month, Quarterly values are the cumulative total of BIs now Qualified for "Instructor" role in Kahuna</t>
        </r>
      </text>
    </comment>
    <comment ref="C58" authorId="0" shapeId="0" xr:uid="{7B8C1B4B-4177-49F0-93C5-A2E4F5B08047}">
      <text>
        <r>
          <rPr>
            <sz val="11"/>
            <color theme="1"/>
            <rFont val="Calibri"/>
            <family val="2"/>
            <scheme val="minor"/>
          </rPr>
          <t>Jen Wright:
Actual FTE staff headcount number for Gas Power &amp; FieldCore combined</t>
        </r>
      </text>
    </comment>
    <comment ref="F58" authorId="0" shapeId="0" xr:uid="{DA09F69C-4C8F-41ED-BFBE-4EBADB371BF8}">
      <text>
        <r>
          <rPr>
            <sz val="11"/>
            <color theme="1"/>
            <rFont val="Calibri"/>
            <family val="2"/>
            <scheme val="minor"/>
          </rPr>
          <t>Jen Wright:
Target is to stay below this number
Does not include FC Instructors or FEPs</t>
        </r>
      </text>
    </comment>
  </commentList>
</comments>
</file>

<file path=xl/sharedStrings.xml><?xml version="1.0" encoding="utf-8"?>
<sst xmlns="http://schemas.openxmlformats.org/spreadsheetml/2006/main" count="377" uniqueCount="118">
  <si>
    <t>Level 2</t>
  </si>
  <si>
    <t>Priorities</t>
  </si>
  <si>
    <t xml:space="preserve">KPI </t>
  </si>
  <si>
    <t>Owner</t>
  </si>
  <si>
    <t>PY Actual</t>
  </si>
  <si>
    <t>2026 Plan</t>
  </si>
  <si>
    <t>YTD
Actual</t>
  </si>
  <si>
    <t>JAN</t>
  </si>
  <si>
    <t>FEB</t>
  </si>
  <si>
    <t>MAR</t>
  </si>
  <si>
    <t>1Q</t>
  </si>
  <si>
    <t>APR</t>
  </si>
  <si>
    <t>MAY</t>
  </si>
  <si>
    <t>JUN</t>
  </si>
  <si>
    <t>2Q</t>
  </si>
  <si>
    <t>JUL</t>
  </si>
  <si>
    <t>AUG</t>
  </si>
  <si>
    <t>SEP</t>
  </si>
  <si>
    <t>3Q</t>
  </si>
  <si>
    <t>OCT</t>
  </si>
  <si>
    <t>NOV</t>
  </si>
  <si>
    <t>DEC</t>
  </si>
  <si>
    <t>4Q</t>
  </si>
  <si>
    <t>Safety</t>
  </si>
  <si>
    <t>I&amp;I</t>
  </si>
  <si>
    <t>Galley</t>
  </si>
  <si>
    <t>PY</t>
  </si>
  <si>
    <t>Plan</t>
  </si>
  <si>
    <t>Act</t>
  </si>
  <si>
    <t>I&amp;I Rate</t>
  </si>
  <si>
    <t>Severe Incidents (A+B)</t>
  </si>
  <si>
    <t>Read Across Closing Rate/ATS in 30 days by YE</t>
  </si>
  <si>
    <t>NA</t>
  </si>
  <si>
    <t>90%%</t>
  </si>
  <si>
    <t>Live Save Rule Compliance %</t>
  </si>
  <si>
    <t>n/a</t>
  </si>
  <si>
    <t>Not tracked in 2025</t>
  </si>
  <si>
    <t>Quality</t>
  </si>
  <si>
    <t>Customer Training NPS</t>
  </si>
  <si>
    <t>Daxer</t>
  </si>
  <si>
    <t>April: a few "neutral" feedbacks driving NPS down to 79</t>
  </si>
  <si>
    <t># Exams Migrated to Xyleme</t>
  </si>
  <si>
    <t>Ganssmann</t>
  </si>
  <si>
    <t>Philip &amp; Jim to determine target</t>
  </si>
  <si>
    <t># Courses Migrated to Xyleme</t>
  </si>
  <si>
    <t>Philip to determine target</t>
  </si>
  <si>
    <t>Avg HLC 5S Audit Scores</t>
  </si>
  <si>
    <t>Target TBD - pending a few months of data</t>
  </si>
  <si>
    <r>
      <t xml:space="preserve">Internal Trng Post-Training Skill Improvement 
</t>
    </r>
    <r>
      <rPr>
        <i/>
        <sz val="12"/>
        <color theme="1"/>
        <rFont val="Calibri"/>
      </rPr>
      <t>(i.e. final assessment scores)</t>
    </r>
  </si>
  <si>
    <t>Rosen</t>
  </si>
  <si>
    <t>May need to re-adjust once Xyleme exams start being used</t>
  </si>
  <si>
    <t>N/A</t>
  </si>
  <si>
    <t>Delivery</t>
  </si>
  <si>
    <t>Kahuna Workforce Compliance Rate (Primary Roles)</t>
  </si>
  <si>
    <t>Alcantar / Monzo</t>
  </si>
  <si>
    <t>FEP Development plan prepared 60 days before training end</t>
  </si>
  <si>
    <t>Monzo</t>
  </si>
  <si>
    <t>ELT Pre-course OJT Completion Rate</t>
  </si>
  <si>
    <t>Pre-course Online EHS Pre-req Completion Rate</t>
  </si>
  <si>
    <t>Need to determine how to measure for diff course types</t>
  </si>
  <si>
    <t>Timecard OTD</t>
  </si>
  <si>
    <t>*58%</t>
  </si>
  <si>
    <t>Fully Loaded and Qualified Instructors</t>
  </si>
  <si>
    <t>&lt;15%</t>
  </si>
  <si>
    <t>Need to build report for this</t>
  </si>
  <si>
    <t>TBD</t>
  </si>
  <si>
    <t>*21.1%</t>
  </si>
  <si>
    <t># Borrowed Instructors in Pool (Qualified for Instructor Role in Kahuna)</t>
  </si>
  <si>
    <t>Alcantar</t>
  </si>
  <si>
    <t>FEP Cycle Time</t>
  </si>
  <si>
    <t>Leo to determine new target based on role-specific targets &amp; qties</t>
  </si>
  <si>
    <t>Cost</t>
  </si>
  <si>
    <t>Headcount (FPC)</t>
  </si>
  <si>
    <t>Gomez</t>
  </si>
  <si>
    <t>Remove this - shoud we track something else instead?</t>
  </si>
  <si>
    <t>Targets need to be confirmed by Leadership</t>
  </si>
  <si>
    <t>Financials</t>
  </si>
  <si>
    <t>Customer Training Sales</t>
  </si>
  <si>
    <t>Apr low due to Service week</t>
  </si>
  <si>
    <t>GP TrainingOrg Gross Margin</t>
  </si>
  <si>
    <t>Kandic</t>
  </si>
  <si>
    <t>FC Training Org Gross Margin</t>
  </si>
  <si>
    <t>Future Ideas</t>
  </si>
  <si>
    <t>Comment</t>
  </si>
  <si>
    <t>Performance/Behavior improvement after training (i.e. field peformance survey results)</t>
  </si>
  <si>
    <t>Pending completion of AP-0469-2</t>
  </si>
  <si>
    <t>Class readiness 2 weeks before class start (tooling, Instructor, Students etc)</t>
  </si>
  <si>
    <t>not an issue now that short term cancellations are down</t>
  </si>
  <si>
    <t>ROI - cost of training vs. value returned to the business</t>
  </si>
  <si>
    <t xml:space="preserve"> - how to get data for value returned to the business?
Not for Bowler - more for our CapEx justifications</t>
  </si>
  <si>
    <t>Development/OJT plan prepared before training start</t>
  </si>
  <si>
    <t>Jen &amp; Leo to determine how to measure this.</t>
  </si>
  <si>
    <t>Number of non-BI-pool instructors used?</t>
  </si>
  <si>
    <t>Consider adding once we have a strong enough pool</t>
  </si>
  <si>
    <t># of Exams Migrated to Xyleme</t>
  </si>
  <si>
    <t># of Modules Migrated to Xyleme</t>
  </si>
  <si>
    <t># or % of enrollments &lt;2 weeks before class starts</t>
  </si>
  <si>
    <t>Consider adding in 2026 if we don't see 2025 improvement as result of TDM leader standard work improvements
2024 = 510 total, 16% of enrollments
2025 = 905 total, 29% of enrollments
not an issue now that fulfillment rate is improved</t>
  </si>
  <si>
    <t># of FEPs hired less than 2months before class starts</t>
  </si>
  <si>
    <t>143 FEPs (36 FEPs were hired less than 1 month); average delta time between hiring and class start ~49 days
Not as much of a focus due to variations in regional/skill needs.</t>
  </si>
  <si>
    <t>Pre-course OJT completion rate</t>
  </si>
  <si>
    <t>Pre-course online pre-req completion rate</t>
  </si>
  <si>
    <t>5S something</t>
  </si>
  <si>
    <t>2027 - utilitization of Xyleme modules</t>
  </si>
  <si>
    <t xml:space="preserve">Kaizen </t>
  </si>
  <si>
    <t>Learning Track</t>
  </si>
  <si>
    <t>Gas</t>
  </si>
  <si>
    <t>Competency</t>
  </si>
  <si>
    <t>Content</t>
  </si>
  <si>
    <t>Ability to deliver</t>
  </si>
  <si>
    <t>Pipe Fitting</t>
  </si>
  <si>
    <t>1a</t>
  </si>
  <si>
    <t>Connectors</t>
  </si>
  <si>
    <t>1b</t>
  </si>
  <si>
    <t>Flow</t>
  </si>
  <si>
    <t>1c</t>
  </si>
  <si>
    <t>Pipe types</t>
  </si>
  <si>
    <t>Assesment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</si>
</sst>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0"/>
    <numFmt numFmtId="165" formatCode="_(* #,##0.0_);_(* \(#,##0.0\);_(* &quot;-&quot;??_);_(@_)"/>
    <numFmt numFmtId="166" formatCode="0.0"/>
    <numFmt numFmtId="167" formatCode="&quot;$&quot;#,##0.0_);\(&quot;$&quot;#,##0.0\)"/>
    <numFmt numFmtId="168" formatCode="_(* #,##0.0_);_(* \(#,##0.0\);_(* &quot;-&quot;?_);_(@_)"/>
    <numFmt numFmtId="169" formatCode="#,##0.0_);\(#,##0.0\)"/>
  </numFmts>
  <fonts count="30">
    <font>
      <sz val="11"/>
      <color theme="1"/>
      <name val="Calibri"/>
      <family val="2"/>
      <scheme val="minor"/>
    </font>
    <font>
      <sz val="11"/>
      <color theme="1"/>
      <name val="Calibri"/>
      <family val="2"/>
      <scheme val="minor"/>
    </font>
    <font>
      <b/>
      <sz val="11"/>
      <color theme="1"/>
      <name val="Calibri"/>
      <family val="2"/>
      <scheme val="minor"/>
    </font>
    <font>
      <sz val="12"/>
      <color theme="1"/>
      <name val="Calibri"/>
    </font>
    <font>
      <b/>
      <sz val="12"/>
      <color theme="1"/>
      <name val="Calibri"/>
    </font>
    <font>
      <b/>
      <sz val="14"/>
      <color theme="0"/>
      <name val="Calibri"/>
    </font>
    <font>
      <b/>
      <sz val="12"/>
      <color theme="0"/>
      <name val="Calibri"/>
    </font>
    <font>
      <sz val="12"/>
      <color theme="0"/>
      <name val="Calibri"/>
    </font>
    <font>
      <b/>
      <sz val="12"/>
      <name val="Calibri"/>
    </font>
    <font>
      <sz val="12"/>
      <name val="Calibri"/>
    </font>
    <font>
      <sz val="12"/>
      <color rgb="FFFF0000"/>
      <name val="Calibri"/>
    </font>
    <font>
      <sz val="12"/>
      <color rgb="FF000000"/>
      <name val="Calibri"/>
    </font>
    <font>
      <sz val="12"/>
      <color rgb="FF00B050"/>
      <name val="Calibri"/>
    </font>
    <font>
      <b/>
      <sz val="12"/>
      <color rgb="FF000000"/>
      <name val="Calibri"/>
    </font>
    <font>
      <sz val="11"/>
      <color theme="1"/>
      <name val="Calibri"/>
    </font>
    <font>
      <i/>
      <sz val="12"/>
      <color theme="1"/>
      <name val="Calibri"/>
    </font>
    <font>
      <b/>
      <sz val="11"/>
      <color theme="1"/>
      <name val="Calibri"/>
    </font>
    <font>
      <b/>
      <sz val="11"/>
      <color rgb="FF444444"/>
      <name val="Calibri"/>
    </font>
    <font>
      <strike/>
      <sz val="11"/>
      <color theme="1"/>
      <name val="Calibri"/>
    </font>
    <font>
      <strike/>
      <sz val="12"/>
      <color theme="1"/>
      <name val="Calibri"/>
    </font>
    <font>
      <b/>
      <sz val="12"/>
      <name val="Calibri"/>
      <family val="2"/>
    </font>
    <font>
      <sz val="12"/>
      <color rgb="FF00B050"/>
      <name val="Calibri"/>
      <family val="2"/>
    </font>
    <font>
      <sz val="12"/>
      <name val="Calibri"/>
      <family val="2"/>
    </font>
    <font>
      <b/>
      <sz val="12"/>
      <color theme="1"/>
      <name val="Calibri"/>
      <family val="2"/>
    </font>
    <font>
      <sz val="12"/>
      <color theme="1"/>
      <name val="Calibri"/>
      <family val="2"/>
    </font>
    <font>
      <sz val="11"/>
      <color rgb="FF00B050"/>
      <name val="Calibri"/>
      <family val="2"/>
    </font>
    <font>
      <sz val="12"/>
      <color rgb="FF000000"/>
      <name val="Calibri"/>
      <family val="2"/>
    </font>
    <font>
      <sz val="12"/>
      <color theme="0"/>
      <name val="Calibri"/>
      <family val="2"/>
    </font>
    <font>
      <sz val="11"/>
      <color rgb="FF00B050"/>
      <name val="Calibri"/>
    </font>
    <font>
      <b/>
      <sz val="12"/>
      <color theme="0"/>
      <name val="Calibri"/>
      <family val="2"/>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s>
  <borders count="12">
    <border>
      <left/>
      <right/>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9">
    <xf numFmtId="0" fontId="0" fillId="0" borderId="0" xfId="0"/>
    <xf numFmtId="0" fontId="0" fillId="5" borderId="0" xfId="0" applyFill="1"/>
    <xf numFmtId="0" fontId="0" fillId="6" borderId="0" xfId="0" applyFill="1"/>
    <xf numFmtId="0" fontId="0" fillId="6" borderId="0" xfId="0" applyFill="1" applyAlignment="1">
      <alignment horizontal="left" indent="1"/>
    </xf>
    <xf numFmtId="0" fontId="2" fillId="0" borderId="0" xfId="0" applyFont="1"/>
    <xf numFmtId="0" fontId="3" fillId="2" borderId="0" xfId="0" applyFont="1" applyFill="1"/>
    <xf numFmtId="0" fontId="4" fillId="2" borderId="0" xfId="0" applyFont="1" applyFill="1"/>
    <xf numFmtId="0" fontId="3" fillId="0" borderId="0" xfId="0" applyFont="1"/>
    <xf numFmtId="0" fontId="4" fillId="0" borderId="0" xfId="0" applyFont="1" applyAlignment="1">
      <alignment horizontal="center"/>
    </xf>
    <xf numFmtId="0" fontId="6" fillId="4" borderId="1" xfId="0" applyFont="1" applyFill="1" applyBorder="1" applyAlignment="1">
      <alignment horizontal="center" vertical="center" wrapText="1"/>
    </xf>
    <xf numFmtId="0" fontId="4" fillId="0" borderId="0" xfId="0" applyFont="1"/>
    <xf numFmtId="0" fontId="9" fillId="3" borderId="5" xfId="0" applyFont="1" applyFill="1" applyBorder="1" applyAlignment="1">
      <alignment horizontal="center" vertical="center" wrapText="1"/>
    </xf>
    <xf numFmtId="0" fontId="9" fillId="3" borderId="5" xfId="1" applyNumberFormat="1" applyFont="1" applyFill="1" applyBorder="1" applyAlignment="1">
      <alignment horizontal="center" vertical="center"/>
    </xf>
    <xf numFmtId="37" fontId="8" fillId="3" borderId="5" xfId="1" applyNumberFormat="1" applyFont="1" applyFill="1" applyBorder="1" applyAlignment="1">
      <alignment horizontal="center" vertical="center"/>
    </xf>
    <xf numFmtId="37" fontId="9" fillId="3" borderId="5" xfId="1" applyNumberFormat="1" applyFont="1" applyFill="1" applyBorder="1" applyAlignment="1">
      <alignment horizontal="center" vertical="center"/>
    </xf>
    <xf numFmtId="0" fontId="3" fillId="0" borderId="5" xfId="1" applyNumberFormat="1" applyFont="1" applyFill="1" applyBorder="1" applyAlignment="1">
      <alignment horizontal="center" vertical="center"/>
    </xf>
    <xf numFmtId="37" fontId="4" fillId="0" borderId="5" xfId="1" applyNumberFormat="1" applyFont="1" applyFill="1" applyBorder="1" applyAlignment="1">
      <alignment horizontal="center" vertical="center"/>
    </xf>
    <xf numFmtId="37" fontId="3" fillId="0" borderId="5" xfId="1" applyNumberFormat="1" applyFont="1" applyFill="1" applyBorder="1" applyAlignment="1">
      <alignment horizontal="center" vertical="center"/>
    </xf>
    <xf numFmtId="37" fontId="8" fillId="0" borderId="5" xfId="1" applyNumberFormat="1" applyFont="1" applyFill="1" applyBorder="1" applyAlignment="1">
      <alignment horizontal="center" vertical="center"/>
    </xf>
    <xf numFmtId="0" fontId="3" fillId="3" borderId="5" xfId="1" applyNumberFormat="1" applyFont="1" applyFill="1" applyBorder="1" applyAlignment="1">
      <alignment horizontal="center" vertical="center"/>
    </xf>
    <xf numFmtId="37" fontId="4" fillId="3" borderId="5" xfId="1" applyNumberFormat="1" applyFont="1" applyFill="1" applyBorder="1" applyAlignment="1">
      <alignment horizontal="center" vertical="center"/>
    </xf>
    <xf numFmtId="9" fontId="3" fillId="3" borderId="5" xfId="2" applyFont="1" applyFill="1" applyBorder="1" applyAlignment="1">
      <alignment horizontal="center" vertical="center"/>
    </xf>
    <xf numFmtId="37" fontId="3" fillId="3" borderId="5" xfId="1" applyNumberFormat="1" applyFont="1" applyFill="1" applyBorder="1" applyAlignment="1">
      <alignment horizontal="center" vertical="center"/>
    </xf>
    <xf numFmtId="9" fontId="4" fillId="3" borderId="5" xfId="2" applyFont="1" applyFill="1" applyBorder="1" applyAlignment="1">
      <alignment horizontal="center" vertical="center"/>
    </xf>
    <xf numFmtId="9" fontId="3" fillId="3" borderId="5" xfId="1" applyNumberFormat="1" applyFont="1" applyFill="1" applyBorder="1" applyAlignment="1">
      <alignment horizontal="center" vertical="center"/>
    </xf>
    <xf numFmtId="9" fontId="4" fillId="3" borderId="5" xfId="1" applyNumberFormat="1" applyFont="1" applyFill="1" applyBorder="1" applyAlignment="1">
      <alignment horizontal="center" vertical="center"/>
    </xf>
    <xf numFmtId="9" fontId="3" fillId="0" borderId="5"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0" fontId="4" fillId="3" borderId="5" xfId="1"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3" fillId="0" borderId="0" xfId="0" applyFont="1" applyFill="1" applyAlignment="1">
      <alignment vertical="top" wrapText="1"/>
    </xf>
    <xf numFmtId="0" fontId="14" fillId="0" borderId="0" xfId="0" applyFont="1" applyFill="1" applyAlignment="1">
      <alignment vertical="top" wrapText="1"/>
    </xf>
    <xf numFmtId="0" fontId="16" fillId="0" borderId="0" xfId="0" applyFont="1" applyFill="1" applyAlignment="1">
      <alignment vertical="top" wrapText="1"/>
    </xf>
    <xf numFmtId="0" fontId="4" fillId="0" borderId="5" xfId="1" applyNumberFormat="1" applyFont="1" applyFill="1" applyBorder="1" applyAlignment="1">
      <alignment horizontal="center" vertical="center"/>
    </xf>
    <xf numFmtId="166" fontId="3" fillId="3" borderId="5" xfId="1" applyNumberFormat="1" applyFont="1" applyFill="1" applyBorder="1" applyAlignment="1">
      <alignment horizontal="center" vertical="center"/>
    </xf>
    <xf numFmtId="166" fontId="4" fillId="3" borderId="5" xfId="1" applyNumberFormat="1" applyFont="1" applyFill="1" applyBorder="1" applyAlignment="1">
      <alignment horizontal="center" vertical="center"/>
    </xf>
    <xf numFmtId="166" fontId="7" fillId="8" borderId="5" xfId="1" applyNumberFormat="1" applyFont="1" applyFill="1" applyBorder="1" applyAlignment="1">
      <alignment horizontal="center" vertical="center"/>
    </xf>
    <xf numFmtId="0" fontId="3" fillId="7" borderId="0" xfId="0" applyFont="1" applyFill="1"/>
    <xf numFmtId="9" fontId="3" fillId="0" borderId="5" xfId="2" applyNumberFormat="1" applyFont="1" applyFill="1" applyBorder="1" applyAlignment="1">
      <alignment horizontal="center" vertical="center"/>
    </xf>
    <xf numFmtId="0" fontId="3" fillId="2" borderId="9" xfId="0" applyFont="1" applyFill="1" applyBorder="1" applyAlignment="1">
      <alignment horizontal="center" vertical="center" wrapText="1"/>
    </xf>
    <xf numFmtId="168" fontId="3" fillId="0" borderId="0" xfId="0" applyNumberFormat="1" applyFont="1"/>
    <xf numFmtId="0" fontId="18" fillId="0" borderId="0" xfId="0" applyFont="1" applyFill="1" applyAlignment="1">
      <alignment vertical="top" wrapText="1"/>
    </xf>
    <xf numFmtId="0" fontId="19" fillId="0" borderId="0" xfId="0" applyFont="1" applyFill="1" applyAlignment="1">
      <alignment vertical="top" wrapText="1"/>
    </xf>
    <xf numFmtId="37" fontId="20" fillId="3" borderId="5" xfId="1" applyNumberFormat="1" applyFont="1" applyFill="1" applyBorder="1" applyAlignment="1">
      <alignment horizontal="center" vertical="center"/>
    </xf>
    <xf numFmtId="0" fontId="7" fillId="0" borderId="5" xfId="1" applyNumberFormat="1" applyFont="1" applyFill="1" applyBorder="1" applyAlignment="1">
      <alignment horizontal="center" vertical="center"/>
    </xf>
    <xf numFmtId="37" fontId="6" fillId="0" borderId="5" xfId="1" applyNumberFormat="1" applyFont="1" applyFill="1" applyBorder="1" applyAlignment="1">
      <alignment horizontal="center" vertical="center"/>
    </xf>
    <xf numFmtId="37" fontId="7" fillId="0" borderId="5" xfId="1" applyNumberFormat="1" applyFont="1" applyFill="1" applyBorder="1" applyAlignment="1">
      <alignment horizontal="center" vertical="center"/>
    </xf>
    <xf numFmtId="9" fontId="3" fillId="0" borderId="5" xfId="2" applyFont="1" applyFill="1" applyBorder="1" applyAlignment="1">
      <alignment horizontal="center" vertical="center"/>
    </xf>
    <xf numFmtId="9" fontId="4" fillId="0" borderId="5" xfId="2" applyFont="1" applyFill="1" applyBorder="1" applyAlignment="1">
      <alignment horizontal="center" vertical="center"/>
    </xf>
    <xf numFmtId="9" fontId="7" fillId="0" borderId="5" xfId="2" applyFont="1" applyFill="1" applyBorder="1" applyAlignment="1">
      <alignment horizontal="center" vertical="center"/>
    </xf>
    <xf numFmtId="9" fontId="6" fillId="0" borderId="5" xfId="2" applyFont="1" applyFill="1" applyBorder="1" applyAlignment="1">
      <alignment horizontal="center" vertical="center"/>
    </xf>
    <xf numFmtId="9" fontId="7" fillId="0" borderId="5" xfId="1" applyNumberFormat="1" applyFont="1" applyFill="1" applyBorder="1" applyAlignment="1">
      <alignment horizontal="center" vertical="center"/>
    </xf>
    <xf numFmtId="9" fontId="7" fillId="3" borderId="5" xfId="2" applyFont="1" applyFill="1" applyBorder="1" applyAlignment="1">
      <alignment horizontal="center" vertical="center"/>
    </xf>
    <xf numFmtId="0" fontId="7"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indent="2"/>
    </xf>
    <xf numFmtId="1" fontId="22" fillId="3" borderId="5" xfId="2" applyNumberFormat="1" applyFont="1" applyFill="1" applyBorder="1" applyAlignment="1">
      <alignment horizontal="center" vertical="center" indent="3"/>
    </xf>
    <xf numFmtId="37" fontId="22" fillId="3" borderId="5" xfId="1" applyNumberFormat="1" applyFont="1" applyFill="1" applyBorder="1" applyAlignment="1">
      <alignment horizontal="center" vertical="center"/>
    </xf>
    <xf numFmtId="0" fontId="24" fillId="0" borderId="0" xfId="0" applyFont="1"/>
    <xf numFmtId="1" fontId="11" fillId="0" borderId="5" xfId="0" applyNumberFormat="1" applyFont="1" applyFill="1" applyBorder="1" applyAlignment="1">
      <alignment horizontal="center" vertical="center"/>
    </xf>
    <xf numFmtId="1" fontId="13" fillId="0" borderId="5" xfId="0" applyNumberFormat="1" applyFont="1" applyFill="1" applyBorder="1" applyAlignment="1">
      <alignment horizontal="center" vertical="center"/>
    </xf>
    <xf numFmtId="1" fontId="7" fillId="0" borderId="5" xfId="0" applyNumberFormat="1" applyFont="1" applyFill="1" applyBorder="1" applyAlignment="1">
      <alignment horizontal="center" vertical="center"/>
    </xf>
    <xf numFmtId="0" fontId="3" fillId="3" borderId="9" xfId="0" applyFont="1" applyFill="1" applyBorder="1" applyAlignment="1">
      <alignment horizontal="center" vertical="center" wrapText="1"/>
    </xf>
    <xf numFmtId="0" fontId="7" fillId="0" borderId="5" xfId="2" applyNumberFormat="1" applyFont="1" applyFill="1" applyBorder="1" applyAlignment="1">
      <alignment horizontal="center" vertical="center"/>
    </xf>
    <xf numFmtId="0" fontId="24" fillId="0" borderId="5" xfId="1" applyNumberFormat="1" applyFont="1" applyFill="1" applyBorder="1" applyAlignment="1">
      <alignment horizontal="center" vertical="center"/>
    </xf>
    <xf numFmtId="0" fontId="14" fillId="8" borderId="0" xfId="0" applyFont="1" applyFill="1" applyAlignment="1">
      <alignment vertical="top" wrapText="1"/>
    </xf>
    <xf numFmtId="9" fontId="6" fillId="0" borderId="5" xfId="1" applyNumberFormat="1" applyFont="1" applyFill="1" applyBorder="1" applyAlignment="1">
      <alignment horizontal="center" vertical="center"/>
    </xf>
    <xf numFmtId="0" fontId="3" fillId="8" borderId="0" xfId="0" applyFont="1" applyFill="1" applyAlignment="1">
      <alignment vertical="top" wrapText="1"/>
    </xf>
    <xf numFmtId="9" fontId="7" fillId="3" borderId="5" xfId="1" applyNumberFormat="1" applyFont="1" applyFill="1" applyBorder="1" applyAlignment="1">
      <alignment horizontal="center" vertical="center"/>
    </xf>
    <xf numFmtId="9" fontId="6" fillId="3" borderId="5" xfId="1" applyNumberFormat="1" applyFont="1" applyFill="1" applyBorder="1" applyAlignment="1">
      <alignment horizontal="center" vertical="center"/>
    </xf>
    <xf numFmtId="9" fontId="6" fillId="3" borderId="5" xfId="2" applyFont="1" applyFill="1" applyBorder="1" applyAlignment="1">
      <alignment horizontal="center" vertical="center"/>
    </xf>
    <xf numFmtId="0" fontId="24" fillId="3" borderId="5" xfId="1" applyNumberFormat="1" applyFont="1" applyFill="1" applyBorder="1" applyAlignment="1">
      <alignment horizontal="center" vertical="center"/>
    </xf>
    <xf numFmtId="0" fontId="7" fillId="3" borderId="5" xfId="1" applyNumberFormat="1" applyFont="1" applyFill="1" applyBorder="1" applyAlignment="1">
      <alignment horizontal="center" vertical="center"/>
    </xf>
    <xf numFmtId="0" fontId="20" fillId="0" borderId="5" xfId="0" applyFont="1" applyFill="1" applyBorder="1" applyAlignment="1">
      <alignment horizontal="center" vertical="center"/>
    </xf>
    <xf numFmtId="0" fontId="22" fillId="0" borderId="5" xfId="0" applyFont="1" applyFill="1" applyBorder="1" applyAlignment="1">
      <alignment horizontal="center" vertical="center"/>
    </xf>
    <xf numFmtId="166" fontId="22" fillId="3" borderId="5" xfId="0" applyNumberFormat="1" applyFont="1" applyFill="1" applyBorder="1" applyAlignment="1">
      <alignment horizontal="center" vertical="center"/>
    </xf>
    <xf numFmtId="166" fontId="20" fillId="3" borderId="5" xfId="0" applyNumberFormat="1" applyFont="1" applyFill="1" applyBorder="1" applyAlignment="1">
      <alignment horizontal="center" vertical="center"/>
    </xf>
    <xf numFmtId="165" fontId="22" fillId="0" borderId="5" xfId="1" applyNumberFormat="1" applyFont="1" applyFill="1" applyBorder="1" applyAlignment="1">
      <alignment horizontal="center" vertical="center"/>
    </xf>
    <xf numFmtId="165" fontId="20" fillId="0" borderId="5" xfId="1" applyNumberFormat="1" applyFont="1" applyFill="1" applyBorder="1" applyAlignment="1">
      <alignment horizontal="center" vertical="center"/>
    </xf>
    <xf numFmtId="165" fontId="22" fillId="3" borderId="5" xfId="1" applyNumberFormat="1" applyFont="1" applyFill="1" applyBorder="1" applyAlignment="1">
      <alignment horizontal="center" vertical="center"/>
    </xf>
    <xf numFmtId="165" fontId="20" fillId="3" borderId="5" xfId="1" applyNumberFormat="1" applyFont="1" applyFill="1" applyBorder="1" applyAlignment="1">
      <alignment horizontal="center" vertical="center"/>
    </xf>
    <xf numFmtId="0" fontId="17" fillId="0" borderId="5" xfId="0" applyFont="1" applyFill="1" applyBorder="1" applyAlignment="1">
      <alignment horizontal="center"/>
    </xf>
    <xf numFmtId="1" fontId="3" fillId="3" borderId="5" xfId="1" applyNumberFormat="1" applyFont="1" applyFill="1" applyBorder="1" applyAlignment="1">
      <alignment horizontal="center" vertical="center"/>
    </xf>
    <xf numFmtId="1" fontId="7" fillId="5" borderId="5" xfId="1" applyNumberFormat="1" applyFont="1" applyFill="1" applyBorder="1" applyAlignment="1">
      <alignment horizontal="center" vertical="center"/>
    </xf>
    <xf numFmtId="9" fontId="7" fillId="8" borderId="5" xfId="2" applyFont="1" applyFill="1" applyBorder="1" applyAlignment="1">
      <alignment horizontal="center" vertical="center"/>
    </xf>
    <xf numFmtId="9" fontId="7" fillId="5" borderId="5" xfId="1" applyNumberFormat="1" applyFont="1" applyFill="1" applyBorder="1" applyAlignment="1">
      <alignment horizontal="center" vertical="center"/>
    </xf>
    <xf numFmtId="0" fontId="6" fillId="0" borderId="5" xfId="1" applyNumberFormat="1" applyFont="1" applyFill="1" applyBorder="1" applyAlignment="1">
      <alignment horizontal="center" vertical="center"/>
    </xf>
    <xf numFmtId="0" fontId="6" fillId="3" borderId="5" xfId="1" applyNumberFormat="1" applyFont="1" applyFill="1" applyBorder="1" applyAlignment="1">
      <alignment horizontal="center" vertical="center"/>
    </xf>
    <xf numFmtId="0" fontId="7" fillId="5" borderId="5" xfId="1" applyNumberFormat="1" applyFont="1" applyFill="1" applyBorder="1" applyAlignment="1">
      <alignment horizontal="center" vertical="center"/>
    </xf>
    <xf numFmtId="1" fontId="11" fillId="0" borderId="5" xfId="1" applyNumberFormat="1" applyFont="1" applyFill="1" applyBorder="1" applyAlignment="1">
      <alignment horizontal="center" vertical="center"/>
    </xf>
    <xf numFmtId="165" fontId="27" fillId="5" borderId="5" xfId="1" applyNumberFormat="1" applyFont="1" applyFill="1" applyBorder="1" applyAlignment="1">
      <alignment horizontal="center" vertical="center"/>
    </xf>
    <xf numFmtId="9" fontId="7" fillId="5" borderId="5" xfId="2" applyFont="1" applyFill="1" applyBorder="1" applyAlignment="1">
      <alignment horizontal="center" vertical="center"/>
    </xf>
    <xf numFmtId="1" fontId="7" fillId="8" borderId="5" xfId="0" applyNumberFormat="1" applyFont="1" applyFill="1" applyBorder="1" applyAlignment="1">
      <alignment horizontal="center" vertical="center"/>
    </xf>
    <xf numFmtId="9" fontId="27" fillId="8" borderId="5" xfId="2" applyFont="1" applyFill="1" applyBorder="1" applyAlignment="1">
      <alignment horizontal="center" vertical="center"/>
    </xf>
    <xf numFmtId="0" fontId="7" fillId="8" borderId="5" xfId="1" applyNumberFormat="1" applyFont="1" applyFill="1" applyBorder="1" applyAlignment="1">
      <alignment horizontal="center" vertical="center"/>
    </xf>
    <xf numFmtId="37" fontId="7" fillId="8" borderId="5" xfId="1" applyNumberFormat="1" applyFont="1" applyFill="1" applyBorder="1" applyAlignment="1">
      <alignment horizontal="center" vertical="center"/>
    </xf>
    <xf numFmtId="9" fontId="6" fillId="8" borderId="5" xfId="2" applyFont="1" applyFill="1" applyBorder="1" applyAlignment="1">
      <alignment horizontal="center" vertical="center"/>
    </xf>
    <xf numFmtId="165" fontId="27" fillId="8" borderId="5" xfId="1" applyNumberFormat="1" applyFont="1" applyFill="1" applyBorder="1" applyAlignment="1">
      <alignment horizontal="center" vertical="center"/>
    </xf>
    <xf numFmtId="1" fontId="6" fillId="8" borderId="5" xfId="1" applyNumberFormat="1" applyFont="1" applyFill="1" applyBorder="1" applyAlignment="1">
      <alignment horizontal="center" vertical="center"/>
    </xf>
    <xf numFmtId="166" fontId="6" fillId="8" borderId="5" xfId="1" applyNumberFormat="1" applyFont="1" applyFill="1" applyBorder="1" applyAlignment="1">
      <alignment horizontal="center" vertical="center"/>
    </xf>
    <xf numFmtId="1" fontId="29" fillId="3" borderId="5" xfId="0" applyNumberFormat="1" applyFont="1" applyFill="1" applyBorder="1" applyAlignment="1">
      <alignment horizontal="center" vertical="center"/>
    </xf>
    <xf numFmtId="166" fontId="29" fillId="3" borderId="5" xfId="0" applyNumberFormat="1" applyFont="1" applyFill="1" applyBorder="1" applyAlignment="1">
      <alignment horizontal="center" vertical="center"/>
    </xf>
    <xf numFmtId="9" fontId="27" fillId="8" borderId="5" xfId="2" applyNumberFormat="1" applyFont="1" applyFill="1" applyBorder="1" applyAlignment="1">
      <alignment horizontal="center" vertical="center"/>
    </xf>
    <xf numFmtId="9" fontId="13" fillId="0" borderId="5" xfId="2" applyFont="1" applyFill="1" applyBorder="1" applyAlignment="1">
      <alignment horizontal="center" vertical="center"/>
    </xf>
    <xf numFmtId="9" fontId="29" fillId="8" borderId="5" xfId="1" applyNumberFormat="1" applyFont="1" applyFill="1" applyBorder="1" applyAlignment="1">
      <alignment horizontal="center" vertical="center"/>
    </xf>
    <xf numFmtId="9" fontId="6" fillId="5" borderId="5" xfId="1" applyNumberFormat="1" applyFont="1" applyFill="1" applyBorder="1" applyAlignment="1">
      <alignment horizontal="center" vertical="center"/>
    </xf>
    <xf numFmtId="1" fontId="6" fillId="5" borderId="5" xfId="1" applyNumberFormat="1" applyFont="1" applyFill="1" applyBorder="1" applyAlignment="1">
      <alignment horizontal="center" vertical="center"/>
    </xf>
    <xf numFmtId="165" fontId="29" fillId="8" borderId="5" xfId="1" applyNumberFormat="1" applyFont="1" applyFill="1" applyBorder="1" applyAlignment="1">
      <alignment horizontal="center" vertical="center"/>
    </xf>
    <xf numFmtId="37" fontId="6" fillId="8" borderId="5" xfId="1"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0" fontId="6" fillId="5" borderId="5" xfId="1" applyNumberFormat="1" applyFont="1" applyFill="1" applyBorder="1" applyAlignment="1">
      <alignment horizontal="center" vertical="center"/>
    </xf>
    <xf numFmtId="9" fontId="6" fillId="5" borderId="5" xfId="2" applyFont="1" applyFill="1" applyBorder="1" applyAlignment="1">
      <alignment horizontal="center" vertical="center"/>
    </xf>
    <xf numFmtId="0" fontId="6" fillId="0" borderId="5" xfId="1" applyNumberFormat="1" applyFont="1" applyBorder="1" applyAlignment="1">
      <alignment horizontal="center" vertical="center"/>
    </xf>
    <xf numFmtId="1" fontId="27" fillId="8" borderId="5" xfId="2" applyNumberFormat="1" applyFont="1" applyFill="1" applyBorder="1" applyAlignment="1">
      <alignment horizontal="center" vertical="center"/>
    </xf>
    <xf numFmtId="166" fontId="11" fillId="3" borderId="5" xfId="0" applyNumberFormat="1" applyFont="1" applyFill="1" applyBorder="1" applyAlignment="1">
      <alignment horizontal="center" vertical="center"/>
    </xf>
    <xf numFmtId="0" fontId="3" fillId="3"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37" fontId="3" fillId="3" borderId="5" xfId="0" applyNumberFormat="1" applyFont="1" applyFill="1" applyBorder="1" applyAlignment="1">
      <alignment horizontal="center" vertical="center"/>
    </xf>
    <xf numFmtId="0" fontId="22" fillId="0"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167" fontId="22" fillId="3" borderId="7" xfId="0" applyNumberFormat="1" applyFont="1" applyFill="1" applyBorder="1" applyAlignment="1">
      <alignment horizontal="center" vertical="center" wrapText="1"/>
    </xf>
    <xf numFmtId="167" fontId="22" fillId="3" borderId="10" xfId="0" applyNumberFormat="1" applyFont="1" applyFill="1" applyBorder="1" applyAlignment="1">
      <alignment horizontal="center" vertical="center" wrapText="1"/>
    </xf>
    <xf numFmtId="167" fontId="22" fillId="3" borderId="8" xfId="0" applyNumberFormat="1" applyFont="1" applyFill="1" applyBorder="1" applyAlignment="1">
      <alignment horizontal="center" vertical="center" wrapText="1"/>
    </xf>
    <xf numFmtId="167" fontId="21" fillId="3" borderId="5" xfId="0" applyNumberFormat="1" applyFont="1" applyFill="1" applyBorder="1" applyAlignment="1">
      <alignment horizontal="center" vertical="center" wrapText="1"/>
    </xf>
    <xf numFmtId="167" fontId="21" fillId="2" borderId="5" xfId="0" applyNumberFormat="1" applyFont="1" applyFill="1" applyBorder="1" applyAlignment="1">
      <alignment horizontal="center" vertical="center" wrapText="1"/>
    </xf>
    <xf numFmtId="166" fontId="11" fillId="3" borderId="5" xfId="0" applyNumberFormat="1" applyFont="1" applyFill="1" applyBorder="1" applyAlignment="1">
      <alignment horizontal="center" vertical="center"/>
    </xf>
    <xf numFmtId="1" fontId="3" fillId="0" borderId="5" xfId="2" applyNumberFormat="1" applyFont="1" applyFill="1" applyBorder="1" applyAlignment="1">
      <alignment horizontal="center" vertical="center" wrapText="1"/>
    </xf>
    <xf numFmtId="37" fontId="10" fillId="0" borderId="5" xfId="0" applyNumberFormat="1" applyFont="1" applyFill="1" applyBorder="1" applyAlignment="1">
      <alignment horizontal="center" vertical="center"/>
    </xf>
    <xf numFmtId="164" fontId="21" fillId="3" borderId="5" xfId="0" applyNumberFormat="1" applyFont="1" applyFill="1" applyBorder="1" applyAlignment="1">
      <alignment horizontal="center" vertical="center" wrapText="1"/>
    </xf>
    <xf numFmtId="166" fontId="3" fillId="3" borderId="7" xfId="2" applyNumberFormat="1" applyFont="1" applyFill="1" applyBorder="1" applyAlignment="1">
      <alignment horizontal="center" vertical="center" wrapText="1"/>
    </xf>
    <xf numFmtId="166" fontId="3" fillId="3" borderId="10" xfId="2" applyNumberFormat="1" applyFont="1" applyFill="1" applyBorder="1" applyAlignment="1">
      <alignment horizontal="center" vertical="center" wrapText="1"/>
    </xf>
    <xf numFmtId="166" fontId="3" fillId="3" borderId="8" xfId="2" applyNumberFormat="1" applyFont="1" applyFill="1" applyBorder="1" applyAlignment="1">
      <alignment horizontal="center" vertical="center" wrapText="1"/>
    </xf>
    <xf numFmtId="166" fontId="12" fillId="3" borderId="7" xfId="2" applyNumberFormat="1" applyFont="1" applyFill="1" applyBorder="1" applyAlignment="1">
      <alignment horizontal="center" vertical="center" wrapText="1"/>
    </xf>
    <xf numFmtId="166" fontId="12" fillId="3" borderId="10" xfId="2" applyNumberFormat="1" applyFont="1" applyFill="1" applyBorder="1" applyAlignment="1">
      <alignment horizontal="center" vertical="center" wrapText="1"/>
    </xf>
    <xf numFmtId="166" fontId="12" fillId="3" borderId="8" xfId="2" applyNumberFormat="1" applyFont="1" applyFill="1" applyBorder="1" applyAlignment="1">
      <alignment horizontal="center" vertical="center" wrapText="1"/>
    </xf>
    <xf numFmtId="167" fontId="22" fillId="2" borderId="5" xfId="0" applyNumberFormat="1" applyFont="1" applyFill="1" applyBorder="1" applyAlignment="1">
      <alignment horizontal="center" vertical="center" wrapText="1"/>
    </xf>
    <xf numFmtId="164" fontId="22" fillId="3" borderId="5" xfId="0" applyNumberFormat="1" applyFont="1" applyFill="1" applyBorder="1" applyAlignment="1">
      <alignment horizontal="center" vertical="center" wrapText="1"/>
    </xf>
    <xf numFmtId="0" fontId="20" fillId="0" borderId="9" xfId="0" applyFont="1" applyFill="1" applyBorder="1" applyAlignment="1">
      <alignment horizontal="center" vertical="center" wrapText="1"/>
    </xf>
    <xf numFmtId="0" fontId="22" fillId="0" borderId="5" xfId="0" applyFont="1" applyFill="1" applyBorder="1" applyAlignment="1">
      <alignment horizontal="center" vertical="center" wrapText="1"/>
    </xf>
    <xf numFmtId="167" fontId="22" fillId="0"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37" fontId="10" fillId="3" borderId="5" xfId="0" applyNumberFormat="1" applyFont="1" applyFill="1" applyBorder="1" applyAlignment="1">
      <alignment horizontal="center" vertical="center"/>
    </xf>
    <xf numFmtId="0" fontId="4" fillId="3" borderId="9" xfId="0" applyFont="1" applyFill="1" applyBorder="1" applyAlignment="1">
      <alignment horizontal="center" vertical="center" wrapText="1"/>
    </xf>
    <xf numFmtId="16" fontId="4" fillId="0" borderId="7" xfId="0" quotePrefix="1" applyNumberFormat="1" applyFont="1" applyFill="1" applyBorder="1" applyAlignment="1">
      <alignment horizontal="center" vertical="center" wrapText="1"/>
    </xf>
    <xf numFmtId="16" fontId="4" fillId="0" borderId="10" xfId="0" quotePrefix="1" applyNumberFormat="1" applyFont="1" applyFill="1" applyBorder="1" applyAlignment="1">
      <alignment horizontal="center" vertical="center" wrapText="1"/>
    </xf>
    <xf numFmtId="16" fontId="4" fillId="0" borderId="8" xfId="0" quotePrefix="1" applyNumberFormat="1" applyFont="1" applyFill="1" applyBorder="1" applyAlignment="1">
      <alignment horizontal="center" vertical="center" wrapText="1"/>
    </xf>
    <xf numFmtId="0" fontId="20" fillId="3" borderId="9" xfId="0" applyFont="1" applyFill="1" applyBorder="1" applyAlignment="1">
      <alignment horizontal="center" vertical="center" wrapText="1"/>
    </xf>
    <xf numFmtId="0" fontId="22" fillId="3" borderId="5" xfId="0" applyFont="1" applyFill="1" applyBorder="1" applyAlignment="1">
      <alignment horizontal="center" vertical="center" wrapText="1"/>
    </xf>
    <xf numFmtId="167" fontId="22" fillId="3" borderId="5" xfId="0" applyNumberFormat="1" applyFont="1" applyFill="1" applyBorder="1" applyAlignment="1">
      <alignment horizontal="center" vertical="center" wrapText="1"/>
    </xf>
    <xf numFmtId="164" fontId="26" fillId="3" borderId="5" xfId="0" applyNumberFormat="1" applyFont="1" applyFill="1" applyBorder="1" applyAlignment="1">
      <alignment horizontal="center" vertical="center" wrapText="1"/>
    </xf>
    <xf numFmtId="9" fontId="12" fillId="0" borderId="5" xfId="0" applyNumberFormat="1" applyFont="1" applyFill="1" applyBorder="1" applyAlignment="1">
      <alignment horizontal="center" vertical="center"/>
    </xf>
    <xf numFmtId="16" fontId="4" fillId="0" borderId="7" xfId="0" quotePrefix="1" applyNumberFormat="1" applyFont="1" applyBorder="1" applyAlignment="1">
      <alignment horizontal="center" vertical="center" wrapText="1"/>
    </xf>
    <xf numFmtId="16" fontId="4" fillId="0" borderId="10" xfId="0" quotePrefix="1" applyNumberFormat="1" applyFont="1" applyBorder="1" applyAlignment="1">
      <alignment horizontal="center"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16" fontId="4" fillId="0" borderId="5" xfId="0" quotePrefix="1" applyNumberFormat="1" applyFont="1" applyBorder="1" applyAlignment="1">
      <alignment horizontal="center" vertical="center" wrapText="1"/>
    </xf>
    <xf numFmtId="0" fontId="4" fillId="3" borderId="7" xfId="0" applyFont="1" applyFill="1" applyBorder="1" applyAlignment="1">
      <alignment horizontal="center" vertical="center" wrapText="1"/>
    </xf>
    <xf numFmtId="16" fontId="4" fillId="0" borderId="8" xfId="0" quotePrefix="1" applyNumberFormat="1" applyFont="1" applyBorder="1" applyAlignment="1">
      <alignment horizontal="center" vertical="center" wrapText="1"/>
    </xf>
    <xf numFmtId="0" fontId="4" fillId="0"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1" fontId="10" fillId="0" borderId="5" xfId="2" applyNumberFormat="1" applyFont="1" applyFill="1" applyBorder="1" applyAlignment="1">
      <alignment horizontal="center" vertical="center" wrapText="1"/>
    </xf>
    <xf numFmtId="37" fontId="3" fillId="3" borderId="5" xfId="0" applyNumberFormat="1" applyFont="1" applyFill="1" applyBorder="1" applyAlignment="1">
      <alignment horizontal="center" vertical="center"/>
    </xf>
    <xf numFmtId="9" fontId="14" fillId="3" borderId="5" xfId="2" applyFont="1" applyFill="1" applyBorder="1" applyAlignment="1">
      <alignment horizontal="center" vertical="center" wrapText="1"/>
    </xf>
    <xf numFmtId="9" fontId="11" fillId="0" borderId="5" xfId="2" applyFont="1" applyFill="1" applyBorder="1" applyAlignment="1">
      <alignment horizontal="center" vertical="center" wrapText="1"/>
    </xf>
    <xf numFmtId="0" fontId="23" fillId="0" borderId="5" xfId="0" applyFont="1" applyFill="1" applyBorder="1" applyAlignment="1">
      <alignment horizontal="center" vertical="center" wrapText="1"/>
    </xf>
    <xf numFmtId="0" fontId="24" fillId="0" borderId="5" xfId="0" quotePrefix="1" applyFont="1" applyFill="1" applyBorder="1" applyAlignment="1">
      <alignment horizontal="center" vertical="center" wrapText="1"/>
    </xf>
    <xf numFmtId="0" fontId="3" fillId="0" borderId="5" xfId="0" quotePrefix="1" applyFont="1" applyFill="1" applyBorder="1" applyAlignment="1">
      <alignment horizontal="center" vertical="center" wrapText="1"/>
    </xf>
    <xf numFmtId="9" fontId="22" fillId="0" borderId="5" xfId="0" applyNumberFormat="1" applyFont="1" applyFill="1" applyBorder="1" applyAlignment="1">
      <alignment horizontal="center" vertical="center"/>
    </xf>
    <xf numFmtId="0" fontId="11" fillId="0" borderId="5" xfId="0" applyNumberFormat="1" applyFont="1" applyFill="1" applyBorder="1" applyAlignment="1">
      <alignment horizontal="center" vertical="center"/>
    </xf>
    <xf numFmtId="0" fontId="10" fillId="0" borderId="5" xfId="0" applyFont="1" applyBorder="1" applyAlignment="1">
      <alignment horizontal="center" vertical="center"/>
    </xf>
    <xf numFmtId="0" fontId="23" fillId="3" borderId="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37" fontId="22" fillId="3" borderId="5"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 xfId="0" applyFont="1" applyFill="1" applyBorder="1" applyAlignment="1">
      <alignment horizontal="center" vertical="center"/>
    </xf>
    <xf numFmtId="0" fontId="4" fillId="3" borderId="8" xfId="0" applyFont="1" applyFill="1" applyBorder="1" applyAlignment="1">
      <alignment horizontal="center" vertical="center" wrapText="1"/>
    </xf>
    <xf numFmtId="9" fontId="10" fillId="3" borderId="6" xfId="2"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3" borderId="5" xfId="0" quotePrefix="1" applyFont="1" applyFill="1" applyBorder="1" applyAlignment="1">
      <alignment horizontal="center" vertical="center" wrapText="1"/>
    </xf>
    <xf numFmtId="37" fontId="21" fillId="3" borderId="5" xfId="0" applyNumberFormat="1" applyFont="1" applyFill="1" applyBorder="1" applyAlignment="1">
      <alignment horizontal="center" vertical="center"/>
    </xf>
    <xf numFmtId="0" fontId="3" fillId="3" borderId="5" xfId="0" quotePrefix="1" applyFont="1" applyFill="1" applyBorder="1" applyAlignment="1">
      <alignment horizontal="center" vertical="center" wrapText="1"/>
    </xf>
    <xf numFmtId="37" fontId="11" fillId="3" borderId="5" xfId="0" applyNumberFormat="1" applyFont="1" applyFill="1" applyBorder="1" applyAlignment="1">
      <alignment horizontal="center" vertical="center"/>
    </xf>
    <xf numFmtId="169" fontId="11" fillId="0" borderId="5" xfId="0" applyNumberFormat="1" applyFont="1" applyFill="1" applyBorder="1" applyAlignment="1">
      <alignment horizontal="center" vertical="center"/>
    </xf>
    <xf numFmtId="9" fontId="3" fillId="3" borderId="5" xfId="2" applyFont="1" applyFill="1" applyBorder="1" applyAlignment="1">
      <alignment horizontal="center" vertical="center" wrapText="1"/>
    </xf>
    <xf numFmtId="9" fontId="3" fillId="3" borderId="7" xfId="2" applyFont="1" applyFill="1" applyBorder="1" applyAlignment="1">
      <alignment horizontal="center" vertical="center" wrapText="1"/>
    </xf>
    <xf numFmtId="37" fontId="21" fillId="0" borderId="5" xfId="0" applyNumberFormat="1" applyFont="1" applyFill="1" applyBorder="1" applyAlignment="1">
      <alignment horizontal="center" vertical="center"/>
    </xf>
    <xf numFmtId="9" fontId="12" fillId="3" borderId="5" xfId="2" applyFont="1" applyFill="1" applyBorder="1" applyAlignment="1">
      <alignment horizontal="center" vertical="center" wrapText="1"/>
    </xf>
    <xf numFmtId="9" fontId="12" fillId="3" borderId="7" xfId="2" applyFont="1" applyFill="1" applyBorder="1" applyAlignment="1">
      <alignment horizontal="center" vertical="center" wrapText="1"/>
    </xf>
    <xf numFmtId="9" fontId="11" fillId="0" borderId="5" xfId="0" applyNumberFormat="1" applyFont="1" applyFill="1" applyBorder="1" applyAlignment="1">
      <alignment horizontal="center" vertical="center"/>
    </xf>
    <xf numFmtId="37" fontId="12" fillId="3" borderId="5" xfId="0" applyNumberFormat="1" applyFont="1" applyFill="1" applyBorder="1" applyAlignment="1">
      <alignment horizontal="center" vertical="center"/>
    </xf>
    <xf numFmtId="0" fontId="21" fillId="0" borderId="7"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3" fillId="3" borderId="5" xfId="0" applyFont="1" applyFill="1" applyBorder="1" applyAlignment="1">
      <alignment horizontal="center" vertical="center" wrapText="1"/>
    </xf>
    <xf numFmtId="0" fontId="24" fillId="3" borderId="5" xfId="0" quotePrefix="1" applyFont="1" applyFill="1" applyBorder="1" applyAlignment="1">
      <alignment horizontal="center" vertical="center" wrapText="1"/>
    </xf>
    <xf numFmtId="9" fontId="22" fillId="3" borderId="5" xfId="0" applyNumberFormat="1" applyFont="1" applyFill="1" applyBorder="1" applyAlignment="1">
      <alignment horizontal="center" vertical="center"/>
    </xf>
    <xf numFmtId="166" fontId="11" fillId="0" borderId="5" xfId="0" applyNumberFormat="1" applyFont="1" applyFill="1" applyBorder="1" applyAlignment="1">
      <alignment horizontal="center" vertical="center"/>
    </xf>
    <xf numFmtId="9" fontId="11" fillId="3" borderId="5" xfId="0" applyNumberFormat="1" applyFont="1" applyFill="1" applyBorder="1" applyAlignment="1">
      <alignment horizontal="center" vertical="center"/>
    </xf>
    <xf numFmtId="9" fontId="3" fillId="0" borderId="8" xfId="2" applyFont="1" applyFill="1" applyBorder="1" applyAlignment="1">
      <alignment horizontal="center" vertical="center" wrapText="1"/>
    </xf>
    <xf numFmtId="9" fontId="3" fillId="0" borderId="5" xfId="2" applyFont="1" applyFill="1" applyBorder="1" applyAlignment="1">
      <alignment horizontal="center" vertical="center" wrapText="1"/>
    </xf>
    <xf numFmtId="9" fontId="10" fillId="0" borderId="5" xfId="2" applyFont="1" applyFill="1" applyBorder="1" applyAlignment="1">
      <alignment horizontal="center" vertical="center" wrapText="1"/>
    </xf>
    <xf numFmtId="9" fontId="10" fillId="3" borderId="11" xfId="2" applyFont="1" applyFill="1" applyBorder="1" applyAlignment="1">
      <alignment horizontal="center" vertical="center" wrapText="1"/>
    </xf>
    <xf numFmtId="9" fontId="10" fillId="3" borderId="9" xfId="2" applyFont="1" applyFill="1" applyBorder="1" applyAlignment="1">
      <alignment horizontal="center" vertical="center" wrapText="1"/>
    </xf>
    <xf numFmtId="37" fontId="22" fillId="2" borderId="5" xfId="0" applyNumberFormat="1" applyFont="1" applyFill="1" applyBorder="1" applyAlignment="1">
      <alignment horizontal="center" vertical="center"/>
    </xf>
    <xf numFmtId="9" fontId="3" fillId="0" borderId="7" xfId="2" applyFont="1" applyFill="1" applyBorder="1" applyAlignment="1">
      <alignment horizontal="center" vertical="center" wrapText="1"/>
    </xf>
    <xf numFmtId="9" fontId="10" fillId="0" borderId="5" xfId="0" applyNumberFormat="1" applyFont="1" applyBorder="1" applyAlignment="1">
      <alignment horizontal="center" vertical="center"/>
    </xf>
    <xf numFmtId="9" fontId="10" fillId="2" borderId="5" xfId="0" applyNumberFormat="1" applyFont="1" applyFill="1" applyBorder="1" applyAlignment="1">
      <alignment horizontal="center" vertical="center" wrapText="1"/>
    </xf>
    <xf numFmtId="1" fontId="12" fillId="0" borderId="5" xfId="2" applyNumberFormat="1" applyFont="1" applyFill="1" applyBorder="1" applyAlignment="1">
      <alignment horizontal="center" vertical="center" wrapText="1"/>
    </xf>
    <xf numFmtId="1" fontId="28" fillId="0" borderId="5" xfId="2" applyNumberFormat="1" applyFont="1" applyFill="1" applyBorder="1" applyAlignment="1">
      <alignment horizontal="center" vertical="center" wrapText="1"/>
    </xf>
    <xf numFmtId="1" fontId="21" fillId="0" borderId="5" xfId="2" applyNumberFormat="1" applyFont="1" applyFill="1" applyBorder="1" applyAlignment="1">
      <alignment horizontal="center" vertical="center" wrapText="1"/>
    </xf>
    <xf numFmtId="1" fontId="25" fillId="0" borderId="5" xfId="2" applyNumberFormat="1" applyFont="1" applyFill="1" applyBorder="1" applyAlignment="1">
      <alignment horizontal="center" vertical="center" wrapText="1"/>
    </xf>
    <xf numFmtId="0" fontId="23" fillId="0" borderId="7"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3" fillId="0" borderId="8"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14" fillId="0" borderId="5" xfId="2" applyNumberFormat="1" applyFont="1" applyFill="1" applyBorder="1" applyAlignment="1">
      <alignment horizontal="center" vertical="center" wrapText="1"/>
    </xf>
    <xf numFmtId="0" fontId="23" fillId="0"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9" fontId="12" fillId="3" borderId="5" xfId="0" applyNumberFormat="1" applyFont="1" applyFill="1" applyBorder="1" applyAlignment="1">
      <alignment horizontal="center" vertical="center"/>
    </xf>
    <xf numFmtId="165" fontId="22" fillId="7" borderId="5" xfId="1" applyNumberFormat="1"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im Rosen" id="{5990F661-A3AB-41F4-AEAA-FE26C0B875A9}" userId="" providerId=""/>
  <person displayName="Lizlee Galley" id="{F0C1FE1F-CA66-453D-BCFC-7F99948C8DD5}"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3" dT="2024-05-21T17:14:25.01" personId="{F0C1FE1F-CA66-453D-BCFC-7F99948C8DD5}" id="{160740E7-DFEB-4450-B5C5-A17286B215D6}">
    <text>90% RA ATS closure rate all sites by YE</text>
  </threadedComment>
  <threadedComment ref="K48" dT="2026-04-06T13:50:50.18" personId="{5990F661-A3AB-41F4-AEAA-FE26C0B875A9}" id="{4A61949D-D058-4614-9CBE-136784BCC6E7}">
    <text>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ext>
  </threadedComment>
  <threadedComment ref="M48" dT="2026-05-08T18:34:11.14" personId="{5990F661-A3AB-41F4-AEAA-FE26C0B875A9}" id="{40736F15-DF93-4810-BC49-A79E1FB56ED1}">
    <text>https://gevernova.box.com/s/17o8hpcpubfb6lm82c157gdcde9kcful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70FC-1EEC-4C2D-86ED-EE3A04D27ABC}">
  <sheetPr>
    <pageSetUpPr fitToPage="1"/>
  </sheetPr>
  <dimension ref="A1:Y95"/>
  <sheetViews>
    <sheetView tabSelected="1" zoomScale="80" zoomScaleNormal="80" workbookViewId="0">
      <pane xSplit="8" ySplit="3" topLeftCell="I35" activePane="bottomRight" state="frozen"/>
      <selection pane="bottomRight" activeCell="L63" sqref="L63"/>
      <selection pane="bottomLeft" activeCell="A4" sqref="A4"/>
      <selection pane="topRight" activeCell="I1" sqref="I1"/>
    </sheetView>
  </sheetViews>
  <sheetFormatPr defaultColWidth="8.7109375" defaultRowHeight="15" customHeight="1" outlineLevelCol="1"/>
  <cols>
    <col min="1" max="1" width="2.7109375" style="7" customWidth="1"/>
    <col min="2" max="2" width="12.28515625" style="7" customWidth="1"/>
    <col min="3" max="3" width="34.28515625" style="7" customWidth="1"/>
    <col min="4" max="4" width="14" style="7" customWidth="1"/>
    <col min="5" max="5" width="9.28515625" style="7" customWidth="1" outlineLevel="1"/>
    <col min="6" max="6" width="9.28515625" style="7" customWidth="1"/>
    <col min="7" max="7" width="9.28515625" style="7" customWidth="1" collapsed="1"/>
    <col min="8" max="8" width="6.28515625" style="7" customWidth="1"/>
    <col min="9" max="9" width="10.28515625" style="7" customWidth="1" outlineLevel="1"/>
    <col min="10" max="11" width="9.5703125" style="7" customWidth="1" outlineLevel="1"/>
    <col min="12" max="12" width="9.5703125" style="10" customWidth="1"/>
    <col min="13" max="15" width="9.5703125" style="7" customWidth="1" outlineLevel="1"/>
    <col min="16" max="16" width="9.5703125" style="10" customWidth="1"/>
    <col min="17" max="19" width="9.5703125" style="7" customWidth="1" outlineLevel="1"/>
    <col min="20" max="20" width="9.5703125" style="10" customWidth="1"/>
    <col min="21" max="23" width="9.5703125" style="7" customWidth="1" outlineLevel="1"/>
    <col min="24" max="24" width="9.5703125" style="10" customWidth="1"/>
    <col min="25" max="16384" width="8.7109375" style="7"/>
  </cols>
  <sheetData>
    <row r="1" spans="1:25" ht="15.6">
      <c r="A1" s="5"/>
      <c r="B1" s="5"/>
      <c r="C1" s="5"/>
      <c r="D1" s="5"/>
      <c r="E1" s="5"/>
      <c r="F1" s="5"/>
      <c r="G1" s="5"/>
      <c r="H1" s="5"/>
      <c r="I1" s="5"/>
      <c r="J1" s="5"/>
      <c r="K1" s="5"/>
      <c r="L1" s="6"/>
      <c r="M1" s="5"/>
      <c r="N1" s="5"/>
      <c r="O1" s="5"/>
      <c r="P1" s="6"/>
      <c r="Q1" s="5"/>
      <c r="R1" s="5"/>
      <c r="S1" s="5"/>
      <c r="T1" s="6"/>
      <c r="U1" s="5"/>
      <c r="V1" s="5"/>
      <c r="W1" s="5"/>
      <c r="X1" s="6"/>
    </row>
    <row r="2" spans="1:25" ht="18.600000000000001">
      <c r="A2" s="5"/>
      <c r="B2" s="8" t="s">
        <v>0</v>
      </c>
      <c r="I2" s="180">
        <v>2026</v>
      </c>
      <c r="J2" s="181"/>
      <c r="K2" s="181"/>
      <c r="L2" s="181"/>
      <c r="M2" s="181"/>
      <c r="N2" s="181"/>
      <c r="O2" s="181"/>
      <c r="P2" s="181"/>
      <c r="Q2" s="181"/>
      <c r="R2" s="181"/>
      <c r="S2" s="181"/>
      <c r="T2" s="181"/>
      <c r="U2" s="181"/>
      <c r="V2" s="181"/>
      <c r="W2" s="181"/>
      <c r="X2" s="182"/>
    </row>
    <row r="3" spans="1:25" ht="30.95">
      <c r="A3" s="5"/>
      <c r="B3" s="9" t="s">
        <v>1</v>
      </c>
      <c r="C3" s="9" t="s">
        <v>2</v>
      </c>
      <c r="D3" s="9" t="s">
        <v>3</v>
      </c>
      <c r="E3" s="9" t="s">
        <v>4</v>
      </c>
      <c r="F3" s="9" t="s">
        <v>5</v>
      </c>
      <c r="G3" s="9" t="s">
        <v>6</v>
      </c>
      <c r="H3" s="9"/>
      <c r="I3" s="29" t="s">
        <v>7</v>
      </c>
      <c r="J3" s="29" t="s">
        <v>8</v>
      </c>
      <c r="K3" s="29" t="s">
        <v>9</v>
      </c>
      <c r="L3" s="9" t="s">
        <v>10</v>
      </c>
      <c r="M3" s="29" t="s">
        <v>11</v>
      </c>
      <c r="N3" s="29" t="s">
        <v>12</v>
      </c>
      <c r="O3" s="29" t="s">
        <v>13</v>
      </c>
      <c r="P3" s="9" t="s">
        <v>14</v>
      </c>
      <c r="Q3" s="29" t="s">
        <v>15</v>
      </c>
      <c r="R3" s="29" t="s">
        <v>16</v>
      </c>
      <c r="S3" s="29" t="s">
        <v>17</v>
      </c>
      <c r="T3" s="9" t="s">
        <v>18</v>
      </c>
      <c r="U3" s="29" t="s">
        <v>19</v>
      </c>
      <c r="V3" s="29" t="s">
        <v>20</v>
      </c>
      <c r="W3" s="29" t="s">
        <v>21</v>
      </c>
      <c r="X3" s="9" t="s">
        <v>22</v>
      </c>
    </row>
    <row r="4" spans="1:25" ht="18.75" customHeight="1">
      <c r="B4" s="160" t="s">
        <v>23</v>
      </c>
      <c r="C4" s="185" t="s">
        <v>24</v>
      </c>
      <c r="D4" s="186" t="s">
        <v>25</v>
      </c>
      <c r="E4" s="187">
        <f>SUM(L4,P4,T4,X4)</f>
        <v>0</v>
      </c>
      <c r="F4" s="189">
        <v>0</v>
      </c>
      <c r="G4" s="187">
        <f>SUM(L6,P6,T6,X6)</f>
        <v>0</v>
      </c>
      <c r="H4" s="11" t="s">
        <v>26</v>
      </c>
      <c r="I4" s="12">
        <v>0</v>
      </c>
      <c r="J4" s="12">
        <v>0</v>
      </c>
      <c r="K4" s="12">
        <v>0</v>
      </c>
      <c r="L4" s="13">
        <f>SUM(I4:K4)</f>
        <v>0</v>
      </c>
      <c r="M4" s="12">
        <v>0</v>
      </c>
      <c r="N4" s="12">
        <v>0</v>
      </c>
      <c r="O4" s="12">
        <v>0</v>
      </c>
      <c r="P4" s="13">
        <f>SUM(M4:O4)</f>
        <v>0</v>
      </c>
      <c r="Q4" s="14">
        <v>0</v>
      </c>
      <c r="R4" s="14">
        <v>0</v>
      </c>
      <c r="S4" s="14">
        <v>0</v>
      </c>
      <c r="T4" s="13">
        <f>SUM(Q4:S4)</f>
        <v>0</v>
      </c>
      <c r="U4" s="14">
        <v>0</v>
      </c>
      <c r="V4" s="14">
        <v>0</v>
      </c>
      <c r="W4" s="14">
        <v>0</v>
      </c>
      <c r="X4" s="13">
        <f>SUM(U4:W4)</f>
        <v>0</v>
      </c>
    </row>
    <row r="5" spans="1:25" ht="18.75" customHeight="1">
      <c r="B5" s="160"/>
      <c r="C5" s="185"/>
      <c r="D5" s="186"/>
      <c r="E5" s="187"/>
      <c r="F5" s="189"/>
      <c r="G5" s="187"/>
      <c r="H5" s="11" t="s">
        <v>27</v>
      </c>
      <c r="I5" s="12">
        <v>0</v>
      </c>
      <c r="J5" s="12">
        <v>0</v>
      </c>
      <c r="K5" s="12">
        <v>0</v>
      </c>
      <c r="L5" s="13">
        <f t="shared" ref="L5:L6" si="0">SUM(I5:K5)</f>
        <v>0</v>
      </c>
      <c r="M5" s="12">
        <v>0</v>
      </c>
      <c r="N5" s="12">
        <v>0</v>
      </c>
      <c r="O5" s="12">
        <v>0</v>
      </c>
      <c r="P5" s="13">
        <f t="shared" ref="P5:P6" si="1">SUM(M5:O5)</f>
        <v>0</v>
      </c>
      <c r="Q5" s="14">
        <v>0</v>
      </c>
      <c r="R5" s="14">
        <v>0</v>
      </c>
      <c r="S5" s="14">
        <v>0</v>
      </c>
      <c r="T5" s="13">
        <f t="shared" ref="T5:T6" si="2">SUM(Q5:S5)</f>
        <v>0</v>
      </c>
      <c r="U5" s="14">
        <v>0</v>
      </c>
      <c r="V5" s="14">
        <v>0</v>
      </c>
      <c r="W5" s="14">
        <v>0</v>
      </c>
      <c r="X5" s="13">
        <f t="shared" ref="X5:X6" si="3">SUM(U5:W5)</f>
        <v>0</v>
      </c>
    </row>
    <row r="6" spans="1:25" ht="18.75" customHeight="1">
      <c r="B6" s="160"/>
      <c r="C6" s="185"/>
      <c r="D6" s="186"/>
      <c r="E6" s="187"/>
      <c r="F6" s="189"/>
      <c r="G6" s="187"/>
      <c r="H6" s="11" t="s">
        <v>28</v>
      </c>
      <c r="I6" s="95">
        <v>0</v>
      </c>
      <c r="J6" s="95">
        <v>0</v>
      </c>
      <c r="K6" s="95">
        <v>0</v>
      </c>
      <c r="L6" s="108">
        <f t="shared" si="0"/>
        <v>0</v>
      </c>
      <c r="M6" s="95">
        <v>0</v>
      </c>
      <c r="N6" s="14"/>
      <c r="O6" s="14"/>
      <c r="P6" s="13">
        <f t="shared" si="1"/>
        <v>0</v>
      </c>
      <c r="Q6" s="14"/>
      <c r="R6" s="14"/>
      <c r="S6" s="14"/>
      <c r="T6" s="13">
        <f t="shared" si="2"/>
        <v>0</v>
      </c>
      <c r="U6" s="14"/>
      <c r="V6" s="14"/>
      <c r="W6" s="14"/>
      <c r="X6" s="13">
        <f t="shared" si="3"/>
        <v>0</v>
      </c>
    </row>
    <row r="7" spans="1:25" ht="18.75" customHeight="1">
      <c r="B7" s="160"/>
      <c r="C7" s="163" t="s">
        <v>29</v>
      </c>
      <c r="D7" s="171" t="s">
        <v>25</v>
      </c>
      <c r="E7" s="198">
        <v>0</v>
      </c>
      <c r="F7" s="190">
        <v>0</v>
      </c>
      <c r="G7" s="193">
        <v>0</v>
      </c>
      <c r="H7" s="116" t="s">
        <v>26</v>
      </c>
      <c r="I7" s="15">
        <v>0</v>
      </c>
      <c r="J7" s="15">
        <v>0</v>
      </c>
      <c r="K7" s="15">
        <v>0</v>
      </c>
      <c r="L7" s="18">
        <v>0</v>
      </c>
      <c r="M7" s="15">
        <v>0</v>
      </c>
      <c r="N7" s="15">
        <v>0</v>
      </c>
      <c r="O7" s="15">
        <v>0</v>
      </c>
      <c r="P7" s="18">
        <v>0</v>
      </c>
      <c r="Q7" s="15">
        <v>0</v>
      </c>
      <c r="R7" s="15">
        <v>0</v>
      </c>
      <c r="S7" s="15">
        <v>0</v>
      </c>
      <c r="T7" s="18">
        <v>0</v>
      </c>
      <c r="U7" s="15">
        <v>0</v>
      </c>
      <c r="V7" s="15">
        <v>0</v>
      </c>
      <c r="W7" s="15">
        <v>0</v>
      </c>
      <c r="X7" s="18">
        <v>0</v>
      </c>
    </row>
    <row r="8" spans="1:25" ht="18.75" customHeight="1">
      <c r="B8" s="160"/>
      <c r="C8" s="163"/>
      <c r="D8" s="171"/>
      <c r="E8" s="199"/>
      <c r="F8" s="190"/>
      <c r="G8" s="193"/>
      <c r="H8" s="116" t="s">
        <v>27</v>
      </c>
      <c r="I8" s="15">
        <v>0</v>
      </c>
      <c r="J8" s="15">
        <v>0</v>
      </c>
      <c r="K8" s="15">
        <v>0</v>
      </c>
      <c r="L8" s="33">
        <v>0</v>
      </c>
      <c r="M8" s="15">
        <v>0</v>
      </c>
      <c r="N8" s="15">
        <v>0</v>
      </c>
      <c r="O8" s="15">
        <v>0</v>
      </c>
      <c r="P8" s="33">
        <v>0</v>
      </c>
      <c r="Q8" s="15">
        <v>0</v>
      </c>
      <c r="R8" s="15">
        <v>0</v>
      </c>
      <c r="S8" s="15">
        <v>0</v>
      </c>
      <c r="T8" s="15">
        <v>0</v>
      </c>
      <c r="U8" s="15">
        <v>0</v>
      </c>
      <c r="V8" s="15">
        <v>0</v>
      </c>
      <c r="W8" s="15">
        <v>0</v>
      </c>
      <c r="X8" s="15">
        <v>0</v>
      </c>
    </row>
    <row r="9" spans="1:25" ht="18.75" customHeight="1">
      <c r="B9" s="160"/>
      <c r="C9" s="163"/>
      <c r="D9" s="171"/>
      <c r="E9" s="200"/>
      <c r="F9" s="190"/>
      <c r="G9" s="193"/>
      <c r="H9" s="116" t="s">
        <v>28</v>
      </c>
      <c r="I9" s="94">
        <v>0</v>
      </c>
      <c r="J9" s="94">
        <v>0</v>
      </c>
      <c r="K9" s="94">
        <v>0</v>
      </c>
      <c r="L9" s="108">
        <v>0</v>
      </c>
      <c r="M9" s="94">
        <v>0</v>
      </c>
      <c r="N9" s="44"/>
      <c r="O9" s="44"/>
      <c r="P9" s="45"/>
      <c r="Q9" s="46"/>
      <c r="R9" s="46"/>
      <c r="S9" s="46"/>
      <c r="T9" s="45"/>
      <c r="U9" s="46"/>
      <c r="V9" s="46"/>
      <c r="W9" s="17"/>
      <c r="X9" s="16"/>
    </row>
    <row r="10" spans="1:25" ht="18.75" customHeight="1">
      <c r="B10" s="160"/>
      <c r="C10" s="185" t="s">
        <v>30</v>
      </c>
      <c r="D10" s="186" t="s">
        <v>25</v>
      </c>
      <c r="E10" s="197">
        <f>SUM(L10,P10,T10,X10)</f>
        <v>0</v>
      </c>
      <c r="F10" s="189">
        <f>SUM(L11,P11,T11,X11)</f>
        <v>0</v>
      </c>
      <c r="G10" s="187">
        <f>SUM(L12,P12,T12,X12)</f>
        <v>0</v>
      </c>
      <c r="H10" s="11" t="s">
        <v>26</v>
      </c>
      <c r="I10" s="12">
        <v>0</v>
      </c>
      <c r="J10" s="12">
        <v>0</v>
      </c>
      <c r="K10" s="12">
        <v>0</v>
      </c>
      <c r="L10" s="13">
        <f t="shared" ref="L10:L12" si="4">SUM(I10:K10)</f>
        <v>0</v>
      </c>
      <c r="M10" s="12">
        <v>0</v>
      </c>
      <c r="N10" s="12">
        <v>0</v>
      </c>
      <c r="O10" s="12">
        <v>0</v>
      </c>
      <c r="P10" s="13">
        <f t="shared" ref="P10:P12" si="5">SUM(M10:O10)</f>
        <v>0</v>
      </c>
      <c r="Q10" s="14">
        <v>0</v>
      </c>
      <c r="R10" s="14">
        <v>0</v>
      </c>
      <c r="S10" s="14">
        <v>0</v>
      </c>
      <c r="T10" s="13">
        <f t="shared" ref="T10:T12" si="6">SUM(Q10:S10)</f>
        <v>0</v>
      </c>
      <c r="U10" s="14">
        <v>0</v>
      </c>
      <c r="V10" s="14">
        <v>0</v>
      </c>
      <c r="W10" s="14">
        <v>0</v>
      </c>
      <c r="X10" s="13">
        <f t="shared" ref="X10:X12" si="7">SUM(U10:W10)</f>
        <v>0</v>
      </c>
    </row>
    <row r="11" spans="1:25" ht="18.75" customHeight="1">
      <c r="B11" s="160"/>
      <c r="C11" s="185"/>
      <c r="D11" s="186"/>
      <c r="E11" s="197"/>
      <c r="F11" s="189"/>
      <c r="G11" s="187"/>
      <c r="H11" s="11" t="s">
        <v>27</v>
      </c>
      <c r="I11" s="12">
        <v>0</v>
      </c>
      <c r="J11" s="12">
        <v>0</v>
      </c>
      <c r="K11" s="12">
        <v>0</v>
      </c>
      <c r="L11" s="13">
        <f t="shared" si="4"/>
        <v>0</v>
      </c>
      <c r="M11" s="12">
        <v>0</v>
      </c>
      <c r="N11" s="12">
        <v>0</v>
      </c>
      <c r="O11" s="12">
        <v>0</v>
      </c>
      <c r="P11" s="13">
        <f t="shared" si="5"/>
        <v>0</v>
      </c>
      <c r="Q11" s="14">
        <v>0</v>
      </c>
      <c r="R11" s="14">
        <v>0</v>
      </c>
      <c r="S11" s="14">
        <v>0</v>
      </c>
      <c r="T11" s="13">
        <f t="shared" si="6"/>
        <v>0</v>
      </c>
      <c r="U11" s="14">
        <v>0</v>
      </c>
      <c r="V11" s="14">
        <v>0</v>
      </c>
      <c r="W11" s="14">
        <v>0</v>
      </c>
      <c r="X11" s="13">
        <f t="shared" si="7"/>
        <v>0</v>
      </c>
    </row>
    <row r="12" spans="1:25" ht="18.75" customHeight="1">
      <c r="B12" s="160"/>
      <c r="C12" s="185"/>
      <c r="D12" s="186"/>
      <c r="E12" s="197"/>
      <c r="F12" s="189"/>
      <c r="G12" s="187"/>
      <c r="H12" s="11" t="s">
        <v>28</v>
      </c>
      <c r="I12" s="95">
        <v>0</v>
      </c>
      <c r="J12" s="95">
        <v>0</v>
      </c>
      <c r="K12" s="95">
        <v>0</v>
      </c>
      <c r="L12" s="108">
        <f t="shared" si="4"/>
        <v>0</v>
      </c>
      <c r="M12" s="95">
        <v>0</v>
      </c>
      <c r="N12" s="14"/>
      <c r="O12" s="14"/>
      <c r="P12" s="13">
        <f t="shared" si="5"/>
        <v>0</v>
      </c>
      <c r="Q12" s="14"/>
      <c r="R12" s="14"/>
      <c r="S12" s="14"/>
      <c r="T12" s="13">
        <f t="shared" si="6"/>
        <v>0</v>
      </c>
      <c r="U12" s="14"/>
      <c r="V12" s="14"/>
      <c r="W12" s="14"/>
      <c r="X12" s="13">
        <f t="shared" si="7"/>
        <v>0</v>
      </c>
    </row>
    <row r="13" spans="1:25" ht="18.75" customHeight="1">
      <c r="B13" s="160"/>
      <c r="C13" s="163" t="s">
        <v>31</v>
      </c>
      <c r="D13" s="171" t="s">
        <v>25</v>
      </c>
      <c r="E13" s="151">
        <v>1</v>
      </c>
      <c r="F13" s="196">
        <v>0.9</v>
      </c>
      <c r="G13" s="151">
        <v>0.9</v>
      </c>
      <c r="H13" s="116" t="s">
        <v>26</v>
      </c>
      <c r="I13" s="15" t="s">
        <v>32</v>
      </c>
      <c r="J13" s="15" t="s">
        <v>32</v>
      </c>
      <c r="K13" s="15" t="s">
        <v>32</v>
      </c>
      <c r="L13" s="16" t="s">
        <v>32</v>
      </c>
      <c r="M13" s="47" t="s">
        <v>32</v>
      </c>
      <c r="N13" s="15" t="s">
        <v>32</v>
      </c>
      <c r="O13" s="15" t="s">
        <v>32</v>
      </c>
      <c r="P13" s="16" t="s">
        <v>32</v>
      </c>
      <c r="Q13" s="17" t="s">
        <v>32</v>
      </c>
      <c r="R13" s="17" t="s">
        <v>32</v>
      </c>
      <c r="S13" s="17" t="s">
        <v>32</v>
      </c>
      <c r="T13" s="16" t="s">
        <v>32</v>
      </c>
      <c r="U13" s="47" t="s">
        <v>32</v>
      </c>
      <c r="V13" s="47">
        <v>1</v>
      </c>
      <c r="W13" s="47">
        <v>1</v>
      </c>
      <c r="X13" s="48">
        <v>1</v>
      </c>
    </row>
    <row r="14" spans="1:25" ht="18.75" customHeight="1">
      <c r="B14" s="160"/>
      <c r="C14" s="163"/>
      <c r="D14" s="171"/>
      <c r="E14" s="151"/>
      <c r="F14" s="196"/>
      <c r="G14" s="151"/>
      <c r="H14" s="116" t="s">
        <v>27</v>
      </c>
      <c r="I14" s="47">
        <v>0.9</v>
      </c>
      <c r="J14" s="47">
        <v>0.9</v>
      </c>
      <c r="K14" s="47">
        <v>0.9</v>
      </c>
      <c r="L14" s="103">
        <v>0.9</v>
      </c>
      <c r="M14" s="47">
        <v>0.9</v>
      </c>
      <c r="N14" s="47">
        <v>0.9</v>
      </c>
      <c r="O14" s="47">
        <v>0.9</v>
      </c>
      <c r="P14" s="48">
        <v>0.9</v>
      </c>
      <c r="Q14" s="47">
        <v>0.9</v>
      </c>
      <c r="R14" s="47">
        <v>0.9</v>
      </c>
      <c r="S14" s="47">
        <v>0.9</v>
      </c>
      <c r="T14" s="48">
        <v>0.9</v>
      </c>
      <c r="U14" s="47">
        <v>0.9</v>
      </c>
      <c r="V14" s="47">
        <v>0.9</v>
      </c>
      <c r="W14" s="47">
        <v>0.9</v>
      </c>
      <c r="X14" s="48">
        <v>0.9</v>
      </c>
    </row>
    <row r="15" spans="1:25" ht="18.75" customHeight="1">
      <c r="B15" s="160"/>
      <c r="C15" s="163"/>
      <c r="D15" s="171"/>
      <c r="E15" s="151"/>
      <c r="F15" s="196"/>
      <c r="G15" s="151"/>
      <c r="H15" s="116" t="s">
        <v>28</v>
      </c>
      <c r="I15" s="84">
        <v>0.9</v>
      </c>
      <c r="J15" s="84" t="s">
        <v>32</v>
      </c>
      <c r="K15" s="84" t="s">
        <v>33</v>
      </c>
      <c r="L15" s="96">
        <v>0.9</v>
      </c>
      <c r="M15" s="84">
        <v>0.9</v>
      </c>
      <c r="N15" s="49"/>
      <c r="O15" s="49"/>
      <c r="P15" s="50"/>
      <c r="Q15" s="49"/>
      <c r="R15" s="49"/>
      <c r="S15" s="49"/>
      <c r="T15" s="50"/>
      <c r="U15" s="49"/>
      <c r="V15" s="51"/>
      <c r="W15" s="17"/>
      <c r="X15" s="16"/>
    </row>
    <row r="16" spans="1:25" ht="18.75" customHeight="1">
      <c r="B16" s="160"/>
      <c r="C16" s="201" t="s">
        <v>34</v>
      </c>
      <c r="D16" s="188" t="s">
        <v>25</v>
      </c>
      <c r="E16" s="189" t="s">
        <v>35</v>
      </c>
      <c r="F16" s="191">
        <v>0.9</v>
      </c>
      <c r="G16" s="194">
        <v>0.92</v>
      </c>
      <c r="H16" s="115" t="s">
        <v>26</v>
      </c>
      <c r="I16" s="19" t="s">
        <v>32</v>
      </c>
      <c r="J16" s="19" t="s">
        <v>32</v>
      </c>
      <c r="K16" s="19" t="s">
        <v>32</v>
      </c>
      <c r="L16" s="19" t="s">
        <v>32</v>
      </c>
      <c r="M16" s="19" t="s">
        <v>32</v>
      </c>
      <c r="N16" s="19" t="s">
        <v>32</v>
      </c>
      <c r="O16" s="19" t="s">
        <v>32</v>
      </c>
      <c r="P16" s="19" t="s">
        <v>32</v>
      </c>
      <c r="Q16" s="19" t="s">
        <v>32</v>
      </c>
      <c r="R16" s="19" t="s">
        <v>32</v>
      </c>
      <c r="S16" s="19" t="s">
        <v>32</v>
      </c>
      <c r="T16" s="19" t="s">
        <v>32</v>
      </c>
      <c r="U16" s="19" t="s">
        <v>32</v>
      </c>
      <c r="V16" s="19" t="s">
        <v>32</v>
      </c>
      <c r="W16" s="19" t="s">
        <v>32</v>
      </c>
      <c r="X16" s="19" t="s">
        <v>32</v>
      </c>
      <c r="Y16" s="58" t="s">
        <v>36</v>
      </c>
    </row>
    <row r="17" spans="2:25" ht="18.75" customHeight="1">
      <c r="B17" s="160"/>
      <c r="C17" s="140"/>
      <c r="D17" s="188"/>
      <c r="E17" s="189"/>
      <c r="F17" s="191"/>
      <c r="G17" s="194"/>
      <c r="H17" s="115" t="s">
        <v>27</v>
      </c>
      <c r="I17" s="21">
        <v>0.9</v>
      </c>
      <c r="J17" s="21">
        <v>0.9</v>
      </c>
      <c r="K17" s="21">
        <v>0.9</v>
      </c>
      <c r="L17" s="23">
        <v>0.9</v>
      </c>
      <c r="M17" s="21">
        <v>0.9</v>
      </c>
      <c r="N17" s="21">
        <v>0.9</v>
      </c>
      <c r="O17" s="21">
        <v>0.9</v>
      </c>
      <c r="P17" s="23">
        <v>0.9</v>
      </c>
      <c r="Q17" s="21">
        <v>0.9</v>
      </c>
      <c r="R17" s="21">
        <v>0.9</v>
      </c>
      <c r="S17" s="21">
        <v>0.9</v>
      </c>
      <c r="T17" s="23">
        <v>0.9</v>
      </c>
      <c r="U17" s="21">
        <v>0.9</v>
      </c>
      <c r="V17" s="21">
        <v>0.9</v>
      </c>
      <c r="W17" s="21">
        <v>0.9</v>
      </c>
      <c r="X17" s="23">
        <v>0.9</v>
      </c>
    </row>
    <row r="18" spans="2:25" ht="18.75" customHeight="1">
      <c r="B18" s="160"/>
      <c r="C18" s="140"/>
      <c r="D18" s="188"/>
      <c r="E18" s="189"/>
      <c r="F18" s="192"/>
      <c r="G18" s="195"/>
      <c r="H18" s="115" t="s">
        <v>28</v>
      </c>
      <c r="I18" s="93">
        <v>0.92300000000000004</v>
      </c>
      <c r="J18" s="84">
        <v>0.9</v>
      </c>
      <c r="K18" s="102">
        <v>0.92300000000000004</v>
      </c>
      <c r="L18" s="104">
        <v>0.92</v>
      </c>
      <c r="M18" s="113">
        <v>100</v>
      </c>
      <c r="N18" s="54"/>
      <c r="O18" s="55"/>
      <c r="P18" s="43"/>
      <c r="Q18" s="54"/>
      <c r="R18" s="56"/>
      <c r="S18" s="54"/>
      <c r="T18" s="43"/>
      <c r="U18" s="54"/>
      <c r="V18" s="57"/>
      <c r="W18" s="57"/>
      <c r="X18" s="43"/>
    </row>
    <row r="19" spans="2:25" ht="18.75" customHeight="1">
      <c r="B19" s="160" t="s">
        <v>37</v>
      </c>
      <c r="C19" s="163" t="s">
        <v>38</v>
      </c>
      <c r="D19" s="171" t="s">
        <v>39</v>
      </c>
      <c r="E19" s="217">
        <v>83</v>
      </c>
      <c r="F19" s="126">
        <v>83</v>
      </c>
      <c r="G19" s="215">
        <v>83.2</v>
      </c>
      <c r="H19" s="116" t="s">
        <v>26</v>
      </c>
      <c r="I19" s="59">
        <v>80.3</v>
      </c>
      <c r="J19" s="59">
        <v>89.2</v>
      </c>
      <c r="K19" s="59">
        <v>81</v>
      </c>
      <c r="L19" s="60">
        <v>83</v>
      </c>
      <c r="M19" s="59">
        <v>88.6</v>
      </c>
      <c r="N19" s="59">
        <v>86</v>
      </c>
      <c r="O19" s="59">
        <v>82.7</v>
      </c>
      <c r="P19" s="60">
        <v>86.3</v>
      </c>
      <c r="Q19" s="59">
        <v>82</v>
      </c>
      <c r="R19" s="59">
        <v>79.400000000000006</v>
      </c>
      <c r="S19" s="59">
        <v>83.2</v>
      </c>
      <c r="T19" s="60">
        <v>81.599999999999994</v>
      </c>
      <c r="U19" s="59">
        <v>79.099999999999994</v>
      </c>
      <c r="V19" s="59">
        <v>83.6</v>
      </c>
      <c r="W19" s="59">
        <v>72.8</v>
      </c>
      <c r="X19" s="60">
        <v>80.099999999999994</v>
      </c>
    </row>
    <row r="20" spans="2:25" ht="18.75" customHeight="1">
      <c r="B20" s="160"/>
      <c r="C20" s="163"/>
      <c r="D20" s="171"/>
      <c r="E20" s="218"/>
      <c r="F20" s="224"/>
      <c r="G20" s="216"/>
      <c r="H20" s="116" t="s">
        <v>27</v>
      </c>
      <c r="I20" s="59">
        <v>83</v>
      </c>
      <c r="J20" s="59">
        <v>83</v>
      </c>
      <c r="K20" s="59">
        <v>83</v>
      </c>
      <c r="L20" s="60">
        <v>83</v>
      </c>
      <c r="M20" s="59">
        <v>83</v>
      </c>
      <c r="N20" s="59">
        <v>83</v>
      </c>
      <c r="O20" s="59">
        <v>83</v>
      </c>
      <c r="P20" s="60">
        <v>83</v>
      </c>
      <c r="Q20" s="59">
        <v>83</v>
      </c>
      <c r="R20" s="59">
        <v>83</v>
      </c>
      <c r="S20" s="59">
        <v>83</v>
      </c>
      <c r="T20" s="60">
        <v>83</v>
      </c>
      <c r="U20" s="59">
        <v>83</v>
      </c>
      <c r="V20" s="59">
        <v>83</v>
      </c>
      <c r="W20" s="59">
        <v>83</v>
      </c>
      <c r="X20" s="60">
        <v>83</v>
      </c>
    </row>
    <row r="21" spans="2:25" ht="18.75" customHeight="1">
      <c r="B21" s="160"/>
      <c r="C21" s="163"/>
      <c r="D21" s="171"/>
      <c r="E21" s="218"/>
      <c r="F21" s="224"/>
      <c r="G21" s="216"/>
      <c r="H21" s="116" t="s">
        <v>28</v>
      </c>
      <c r="I21" s="83">
        <v>79</v>
      </c>
      <c r="J21" s="92">
        <v>84</v>
      </c>
      <c r="K21" s="92">
        <v>87</v>
      </c>
      <c r="L21" s="98">
        <v>85</v>
      </c>
      <c r="M21" s="83">
        <v>79</v>
      </c>
      <c r="N21" s="61"/>
      <c r="O21" s="61"/>
      <c r="P21" s="61"/>
      <c r="Q21" s="61"/>
      <c r="R21" s="61"/>
      <c r="S21" s="61"/>
      <c r="T21" s="61"/>
      <c r="U21" s="61"/>
      <c r="V21" s="61"/>
      <c r="W21" s="61"/>
      <c r="X21" s="45"/>
      <c r="Y21" s="7" t="s">
        <v>40</v>
      </c>
    </row>
    <row r="22" spans="2:25" ht="19.5" customHeight="1">
      <c r="B22" s="160"/>
      <c r="C22" s="201" t="s">
        <v>41</v>
      </c>
      <c r="D22" s="202" t="s">
        <v>42</v>
      </c>
      <c r="E22" s="203" t="s">
        <v>35</v>
      </c>
      <c r="F22" s="189">
        <v>55</v>
      </c>
      <c r="G22" s="197">
        <f>SUM(L24,P24,T24,X24)</f>
        <v>38</v>
      </c>
      <c r="H22" s="115" t="s">
        <v>26</v>
      </c>
      <c r="I22" s="24" t="s">
        <v>32</v>
      </c>
      <c r="J22" s="24" t="s">
        <v>32</v>
      </c>
      <c r="K22" s="24" t="s">
        <v>32</v>
      </c>
      <c r="L22" s="24" t="s">
        <v>32</v>
      </c>
      <c r="M22" s="24" t="s">
        <v>32</v>
      </c>
      <c r="N22" s="24" t="s">
        <v>32</v>
      </c>
      <c r="O22" s="24" t="s">
        <v>32</v>
      </c>
      <c r="P22" s="24" t="s">
        <v>32</v>
      </c>
      <c r="Q22" s="24" t="s">
        <v>32</v>
      </c>
      <c r="R22" s="24" t="s">
        <v>32</v>
      </c>
      <c r="S22" s="24" t="s">
        <v>32</v>
      </c>
      <c r="T22" s="24" t="s">
        <v>32</v>
      </c>
      <c r="U22" s="24" t="s">
        <v>32</v>
      </c>
      <c r="V22" s="24" t="s">
        <v>32</v>
      </c>
      <c r="W22" s="24" t="s">
        <v>32</v>
      </c>
      <c r="X22" s="24" t="s">
        <v>32</v>
      </c>
      <c r="Y22" s="58" t="s">
        <v>36</v>
      </c>
    </row>
    <row r="23" spans="2:25" ht="18.75" customHeight="1">
      <c r="B23" s="160"/>
      <c r="C23" s="140"/>
      <c r="D23" s="188"/>
      <c r="E23" s="203"/>
      <c r="F23" s="189"/>
      <c r="G23" s="197"/>
      <c r="H23" s="115" t="s">
        <v>27</v>
      </c>
      <c r="I23" s="12">
        <v>0</v>
      </c>
      <c r="J23" s="12">
        <v>5</v>
      </c>
      <c r="K23" s="12">
        <v>5</v>
      </c>
      <c r="L23" s="13">
        <v>10</v>
      </c>
      <c r="M23" s="12">
        <v>5</v>
      </c>
      <c r="N23" s="12">
        <v>5</v>
      </c>
      <c r="O23" s="12">
        <v>5</v>
      </c>
      <c r="P23" s="13">
        <v>15</v>
      </c>
      <c r="Q23" s="14">
        <v>5</v>
      </c>
      <c r="R23" s="14">
        <v>5</v>
      </c>
      <c r="S23" s="14">
        <v>5</v>
      </c>
      <c r="T23" s="13">
        <v>15</v>
      </c>
      <c r="U23" s="14">
        <v>5</v>
      </c>
      <c r="V23" s="14">
        <v>5</v>
      </c>
      <c r="W23" s="14">
        <v>5</v>
      </c>
      <c r="X23" s="13">
        <v>15</v>
      </c>
      <c r="Y23" s="7" t="s">
        <v>43</v>
      </c>
    </row>
    <row r="24" spans="2:25" ht="18.75" customHeight="1">
      <c r="B24" s="160"/>
      <c r="C24" s="140"/>
      <c r="D24" s="188"/>
      <c r="E24" s="203"/>
      <c r="F24" s="189"/>
      <c r="G24" s="197"/>
      <c r="H24" s="115" t="s">
        <v>28</v>
      </c>
      <c r="I24" s="94">
        <v>2</v>
      </c>
      <c r="J24" s="92">
        <v>5</v>
      </c>
      <c r="K24" s="88">
        <v>3</v>
      </c>
      <c r="L24" s="109">
        <v>10</v>
      </c>
      <c r="M24" s="109">
        <v>26</v>
      </c>
      <c r="N24" s="19">
        <v>2</v>
      </c>
      <c r="O24" s="19"/>
      <c r="P24" s="87">
        <f>SUM(M24:O24)</f>
        <v>28</v>
      </c>
      <c r="Q24" s="72"/>
      <c r="R24" s="19"/>
      <c r="S24" s="72"/>
      <c r="T24" s="87">
        <f>SUM(Q24:S24)</f>
        <v>0</v>
      </c>
      <c r="U24" s="72"/>
      <c r="V24" s="72"/>
      <c r="W24" s="19"/>
      <c r="X24" s="87">
        <f>SUM(U24:W24)</f>
        <v>0</v>
      </c>
    </row>
    <row r="25" spans="2:25" ht="19.5" customHeight="1">
      <c r="B25" s="160"/>
      <c r="C25" s="169" t="s">
        <v>44</v>
      </c>
      <c r="D25" s="170" t="s">
        <v>42</v>
      </c>
      <c r="E25" s="172" t="s">
        <v>35</v>
      </c>
      <c r="F25" s="173">
        <v>120</v>
      </c>
      <c r="G25" s="174">
        <f>SUM(L27,P27,T27,X27)</f>
        <v>7</v>
      </c>
      <c r="H25" s="116" t="s">
        <v>26</v>
      </c>
      <c r="I25" s="15" t="s">
        <v>32</v>
      </c>
      <c r="J25" s="15" t="s">
        <v>32</v>
      </c>
      <c r="K25" s="15" t="s">
        <v>32</v>
      </c>
      <c r="L25" s="15" t="s">
        <v>32</v>
      </c>
      <c r="M25" s="15" t="s">
        <v>32</v>
      </c>
      <c r="N25" s="15" t="s">
        <v>32</v>
      </c>
      <c r="O25" s="15" t="s">
        <v>32</v>
      </c>
      <c r="P25" s="15" t="s">
        <v>32</v>
      </c>
      <c r="Q25" s="15" t="s">
        <v>32</v>
      </c>
      <c r="R25" s="15" t="s">
        <v>32</v>
      </c>
      <c r="S25" s="15" t="s">
        <v>32</v>
      </c>
      <c r="T25" s="15" t="s">
        <v>32</v>
      </c>
      <c r="U25" s="15" t="s">
        <v>32</v>
      </c>
      <c r="V25" s="15" t="s">
        <v>32</v>
      </c>
      <c r="W25" s="15" t="s">
        <v>32</v>
      </c>
      <c r="X25" s="15" t="s">
        <v>32</v>
      </c>
      <c r="Y25" s="58" t="s">
        <v>36</v>
      </c>
    </row>
    <row r="26" spans="2:25" ht="18.75" customHeight="1">
      <c r="B26" s="160"/>
      <c r="C26" s="163"/>
      <c r="D26" s="171"/>
      <c r="E26" s="172"/>
      <c r="F26" s="173"/>
      <c r="G26" s="174"/>
      <c r="H26" s="116" t="s">
        <v>27</v>
      </c>
      <c r="I26" s="15">
        <v>10</v>
      </c>
      <c r="J26" s="15">
        <v>10</v>
      </c>
      <c r="K26" s="15">
        <v>10</v>
      </c>
      <c r="L26" s="15">
        <v>30</v>
      </c>
      <c r="M26" s="15">
        <v>10</v>
      </c>
      <c r="N26" s="15">
        <v>10</v>
      </c>
      <c r="O26" s="15">
        <v>10</v>
      </c>
      <c r="P26" s="15">
        <v>30</v>
      </c>
      <c r="Q26" s="15">
        <v>10</v>
      </c>
      <c r="R26" s="15">
        <v>10</v>
      </c>
      <c r="S26" s="15">
        <v>10</v>
      </c>
      <c r="T26" s="15">
        <v>30</v>
      </c>
      <c r="U26" s="15">
        <v>10</v>
      </c>
      <c r="V26" s="15">
        <v>10</v>
      </c>
      <c r="W26" s="15">
        <v>10</v>
      </c>
      <c r="X26" s="15">
        <v>30</v>
      </c>
      <c r="Y26" s="7" t="s">
        <v>45</v>
      </c>
    </row>
    <row r="27" spans="2:25" ht="18.75" customHeight="1">
      <c r="B27" s="160"/>
      <c r="C27" s="163"/>
      <c r="D27" s="171"/>
      <c r="E27" s="172"/>
      <c r="F27" s="173"/>
      <c r="G27" s="174"/>
      <c r="H27" s="116" t="s">
        <v>28</v>
      </c>
      <c r="I27" s="88">
        <v>0</v>
      </c>
      <c r="J27" s="88">
        <v>0</v>
      </c>
      <c r="K27" s="88">
        <v>3</v>
      </c>
      <c r="L27" s="110">
        <f>SUM(I27:K27)</f>
        <v>3</v>
      </c>
      <c r="M27" s="110">
        <v>4</v>
      </c>
      <c r="N27" s="15"/>
      <c r="O27" s="15"/>
      <c r="P27" s="86">
        <f>SUM(M27:O27)</f>
        <v>4</v>
      </c>
      <c r="Q27" s="44"/>
      <c r="R27" s="15"/>
      <c r="S27" s="44"/>
      <c r="T27" s="86">
        <f>SUM(Q27:S27)</f>
        <v>0</v>
      </c>
      <c r="U27" s="44"/>
      <c r="V27" s="44"/>
      <c r="W27" s="15"/>
      <c r="X27" s="112">
        <f>SUM(U27:W27)</f>
        <v>0</v>
      </c>
    </row>
    <row r="28" spans="2:25" ht="19.5" customHeight="1">
      <c r="B28" s="160"/>
      <c r="C28" s="201" t="s">
        <v>46</v>
      </c>
      <c r="D28" s="202" t="s">
        <v>42</v>
      </c>
      <c r="E28" s="203" t="s">
        <v>35</v>
      </c>
      <c r="F28" s="205">
        <v>0.85</v>
      </c>
      <c r="G28" s="227">
        <v>0.76</v>
      </c>
      <c r="H28" s="115" t="s">
        <v>26</v>
      </c>
      <c r="I28" s="24" t="s">
        <v>32</v>
      </c>
      <c r="J28" s="24" t="s">
        <v>32</v>
      </c>
      <c r="K28" s="24" t="s">
        <v>32</v>
      </c>
      <c r="L28" s="24" t="s">
        <v>32</v>
      </c>
      <c r="M28" s="24" t="s">
        <v>32</v>
      </c>
      <c r="N28" s="24" t="s">
        <v>32</v>
      </c>
      <c r="O28" s="24" t="s">
        <v>32</v>
      </c>
      <c r="P28" s="24" t="s">
        <v>32</v>
      </c>
      <c r="Q28" s="24" t="s">
        <v>32</v>
      </c>
      <c r="R28" s="24" t="s">
        <v>32</v>
      </c>
      <c r="S28" s="24" t="s">
        <v>32</v>
      </c>
      <c r="T28" s="24" t="s">
        <v>32</v>
      </c>
      <c r="U28" s="24" t="s">
        <v>32</v>
      </c>
      <c r="V28" s="24" t="s">
        <v>32</v>
      </c>
      <c r="W28" s="24" t="s">
        <v>32</v>
      </c>
      <c r="X28" s="24" t="s">
        <v>32</v>
      </c>
      <c r="Y28" s="58" t="s">
        <v>36</v>
      </c>
    </row>
    <row r="29" spans="2:25" ht="18.75" customHeight="1">
      <c r="B29" s="160"/>
      <c r="C29" s="140"/>
      <c r="D29" s="188"/>
      <c r="E29" s="203"/>
      <c r="F29" s="205"/>
      <c r="G29" s="227"/>
      <c r="H29" s="115" t="s">
        <v>27</v>
      </c>
      <c r="I29" s="24">
        <v>0.75</v>
      </c>
      <c r="J29" s="24">
        <v>0.75</v>
      </c>
      <c r="K29" s="24">
        <v>0.75</v>
      </c>
      <c r="L29" s="25">
        <v>0.75</v>
      </c>
      <c r="M29" s="24">
        <v>0.8</v>
      </c>
      <c r="N29" s="24">
        <v>0.8</v>
      </c>
      <c r="O29" s="24">
        <v>0.8</v>
      </c>
      <c r="P29" s="25">
        <v>0.8</v>
      </c>
      <c r="Q29" s="24">
        <v>0.82</v>
      </c>
      <c r="R29" s="24">
        <v>0.82</v>
      </c>
      <c r="S29" s="24">
        <v>0.82</v>
      </c>
      <c r="T29" s="25">
        <v>0.82</v>
      </c>
      <c r="U29" s="24">
        <v>0.85</v>
      </c>
      <c r="V29" s="24">
        <v>0.85</v>
      </c>
      <c r="W29" s="24">
        <v>0.85</v>
      </c>
      <c r="X29" s="25">
        <v>0.85</v>
      </c>
      <c r="Y29" s="7" t="s">
        <v>47</v>
      </c>
    </row>
    <row r="30" spans="2:25" ht="18.75" customHeight="1">
      <c r="B30" s="160"/>
      <c r="C30" s="140"/>
      <c r="D30" s="188"/>
      <c r="E30" s="203"/>
      <c r="F30" s="205"/>
      <c r="G30" s="227"/>
      <c r="H30" s="115" t="s">
        <v>28</v>
      </c>
      <c r="I30" s="85">
        <v>0.72</v>
      </c>
      <c r="J30" s="84">
        <v>0.76</v>
      </c>
      <c r="K30" s="84">
        <v>0.8</v>
      </c>
      <c r="L30" s="96">
        <f>AVERAGE(I30:K30)</f>
        <v>0.76000000000000012</v>
      </c>
      <c r="M30" s="85">
        <v>0.75</v>
      </c>
      <c r="N30" s="19"/>
      <c r="O30" s="19"/>
      <c r="P30" s="69">
        <f>AVERAGE(M30:O30)</f>
        <v>0.75</v>
      </c>
      <c r="Q30" s="68"/>
      <c r="R30" s="19"/>
      <c r="S30" s="68"/>
      <c r="T30" s="69" t="e">
        <f>AVERAGE(Q30:S30)</f>
        <v>#DIV/0!</v>
      </c>
      <c r="U30" s="68"/>
      <c r="V30" s="68"/>
      <c r="W30" s="19"/>
      <c r="X30" s="69" t="e">
        <f>AVERAGE(U30:W30)</f>
        <v>#DIV/0!</v>
      </c>
    </row>
    <row r="31" spans="2:25" ht="19.5" customHeight="1">
      <c r="B31" s="160"/>
      <c r="C31" s="163" t="s">
        <v>48</v>
      </c>
      <c r="D31" s="171" t="s">
        <v>49</v>
      </c>
      <c r="E31" s="151">
        <v>0.82</v>
      </c>
      <c r="F31" s="196">
        <v>0.7</v>
      </c>
      <c r="G31" s="151">
        <v>0.83</v>
      </c>
      <c r="H31" s="116" t="s">
        <v>26</v>
      </c>
      <c r="I31" s="26" t="s">
        <v>32</v>
      </c>
      <c r="J31" s="38" t="s">
        <v>32</v>
      </c>
      <c r="K31" s="26">
        <v>0.81</v>
      </c>
      <c r="L31" s="27">
        <v>0.81</v>
      </c>
      <c r="M31" s="26" t="s">
        <v>32</v>
      </c>
      <c r="N31" s="26" t="s">
        <v>32</v>
      </c>
      <c r="O31" s="26" t="s">
        <v>32</v>
      </c>
      <c r="P31" s="27">
        <v>0.81</v>
      </c>
      <c r="Q31" s="26">
        <v>0.83</v>
      </c>
      <c r="R31" s="26" t="s">
        <v>32</v>
      </c>
      <c r="S31" s="26">
        <v>0.84</v>
      </c>
      <c r="T31" s="27">
        <v>0.83</v>
      </c>
      <c r="U31" s="26">
        <v>0.8</v>
      </c>
      <c r="V31" s="26">
        <v>0.84</v>
      </c>
      <c r="W31" s="26">
        <v>0.81</v>
      </c>
      <c r="X31" s="27">
        <v>0.82</v>
      </c>
    </row>
    <row r="32" spans="2:25" ht="18.75" customHeight="1">
      <c r="B32" s="160"/>
      <c r="C32" s="163"/>
      <c r="D32" s="171"/>
      <c r="E32" s="151"/>
      <c r="F32" s="196"/>
      <c r="G32" s="151"/>
      <c r="H32" s="116" t="s">
        <v>27</v>
      </c>
      <c r="I32" s="26">
        <v>0.7</v>
      </c>
      <c r="J32" s="26">
        <v>0.7</v>
      </c>
      <c r="K32" s="26">
        <v>0.7</v>
      </c>
      <c r="L32" s="27">
        <v>0.7</v>
      </c>
      <c r="M32" s="26">
        <v>0.7</v>
      </c>
      <c r="N32" s="26">
        <v>0.7</v>
      </c>
      <c r="O32" s="26">
        <v>0.7</v>
      </c>
      <c r="P32" s="27">
        <v>0.7</v>
      </c>
      <c r="Q32" s="26">
        <v>0.7</v>
      </c>
      <c r="R32" s="26">
        <v>0.7</v>
      </c>
      <c r="S32" s="26">
        <v>0.7</v>
      </c>
      <c r="T32" s="27">
        <v>0.7</v>
      </c>
      <c r="U32" s="26">
        <v>0.7</v>
      </c>
      <c r="V32" s="26">
        <v>0.7</v>
      </c>
      <c r="W32" s="26">
        <v>0.7</v>
      </c>
      <c r="X32" s="27">
        <v>0.7</v>
      </c>
      <c r="Y32" s="7" t="s">
        <v>50</v>
      </c>
    </row>
    <row r="33" spans="2:25" ht="18.75" customHeight="1">
      <c r="B33" s="160"/>
      <c r="C33" s="163"/>
      <c r="D33" s="171"/>
      <c r="E33" s="151"/>
      <c r="F33" s="196"/>
      <c r="G33" s="151"/>
      <c r="H33" s="116" t="s">
        <v>28</v>
      </c>
      <c r="I33" s="26" t="s">
        <v>51</v>
      </c>
      <c r="J33" s="15" t="s">
        <v>51</v>
      </c>
      <c r="K33" s="84">
        <v>0.83</v>
      </c>
      <c r="L33" s="96">
        <v>0.83</v>
      </c>
      <c r="M33" s="15" t="s">
        <v>51</v>
      </c>
      <c r="N33" s="15"/>
      <c r="O33" s="15"/>
      <c r="P33" s="66"/>
      <c r="Q33" s="51"/>
      <c r="R33" s="15"/>
      <c r="S33" s="51"/>
      <c r="T33" s="66"/>
      <c r="U33" s="51"/>
      <c r="V33" s="51"/>
      <c r="W33" s="15"/>
      <c r="X33" s="33"/>
    </row>
    <row r="34" spans="2:25" ht="18.75" customHeight="1">
      <c r="B34" s="152" t="s">
        <v>52</v>
      </c>
      <c r="C34" s="140" t="s">
        <v>53</v>
      </c>
      <c r="D34" s="141" t="s">
        <v>54</v>
      </c>
      <c r="E34" s="194">
        <v>0.77</v>
      </c>
      <c r="F34" s="205">
        <v>0.85</v>
      </c>
      <c r="G34" s="194">
        <v>0.79</v>
      </c>
      <c r="H34" s="115" t="s">
        <v>26</v>
      </c>
      <c r="I34" s="21">
        <v>0.61499999999999999</v>
      </c>
      <c r="J34" s="21">
        <v>0.61</v>
      </c>
      <c r="K34" s="21">
        <v>0.61</v>
      </c>
      <c r="L34" s="23">
        <v>0.61</v>
      </c>
      <c r="M34" s="21">
        <v>0.63</v>
      </c>
      <c r="N34" s="21">
        <v>0.65</v>
      </c>
      <c r="O34" s="21">
        <v>0.65</v>
      </c>
      <c r="P34" s="23">
        <v>0.65</v>
      </c>
      <c r="Q34" s="21">
        <v>0.67</v>
      </c>
      <c r="R34" s="21">
        <v>0.67</v>
      </c>
      <c r="S34" s="21">
        <v>0.68</v>
      </c>
      <c r="T34" s="23">
        <v>0.68</v>
      </c>
      <c r="U34" s="21">
        <v>0.69</v>
      </c>
      <c r="V34" s="21">
        <v>0.76</v>
      </c>
      <c r="W34" s="21">
        <v>0.77</v>
      </c>
      <c r="X34" s="23">
        <v>0.77</v>
      </c>
    </row>
    <row r="35" spans="2:25" ht="18.75" customHeight="1">
      <c r="B35" s="153"/>
      <c r="C35" s="140"/>
      <c r="D35" s="141"/>
      <c r="E35" s="194"/>
      <c r="F35" s="205"/>
      <c r="G35" s="194"/>
      <c r="H35" s="115" t="s">
        <v>27</v>
      </c>
      <c r="I35" s="21">
        <v>0.77</v>
      </c>
      <c r="J35" s="21">
        <v>0.78</v>
      </c>
      <c r="K35" s="21">
        <v>0.79</v>
      </c>
      <c r="L35" s="23">
        <v>0.79</v>
      </c>
      <c r="M35" s="21">
        <v>0.8</v>
      </c>
      <c r="N35" s="21">
        <v>0.81</v>
      </c>
      <c r="O35" s="21">
        <v>0.81</v>
      </c>
      <c r="P35" s="23">
        <v>0.81</v>
      </c>
      <c r="Q35" s="21">
        <v>0.82</v>
      </c>
      <c r="R35" s="21">
        <v>0.82</v>
      </c>
      <c r="S35" s="21">
        <v>0.83</v>
      </c>
      <c r="T35" s="23">
        <v>0.83</v>
      </c>
      <c r="U35" s="21">
        <v>0.84</v>
      </c>
      <c r="V35" s="21">
        <v>0.84</v>
      </c>
      <c r="W35" s="21">
        <v>0.85</v>
      </c>
      <c r="X35" s="23">
        <v>0.85</v>
      </c>
    </row>
    <row r="36" spans="2:25" ht="18.75" customHeight="1">
      <c r="B36" s="153"/>
      <c r="C36" s="161"/>
      <c r="D36" s="157"/>
      <c r="E36" s="195"/>
      <c r="F36" s="205"/>
      <c r="G36" s="195"/>
      <c r="H36" s="115" t="s">
        <v>28</v>
      </c>
      <c r="I36" s="84">
        <v>0.78</v>
      </c>
      <c r="J36" s="91">
        <v>0.77</v>
      </c>
      <c r="K36" s="84">
        <v>0.79</v>
      </c>
      <c r="L36" s="96">
        <v>0.79</v>
      </c>
      <c r="M36" s="84">
        <v>0.8</v>
      </c>
      <c r="N36" s="52"/>
      <c r="O36" s="52"/>
      <c r="P36" s="70"/>
      <c r="Q36" s="52"/>
      <c r="R36" s="52"/>
      <c r="S36" s="52"/>
      <c r="T36" s="70"/>
      <c r="U36" s="52"/>
      <c r="V36" s="52"/>
      <c r="W36" s="52"/>
      <c r="X36" s="70"/>
    </row>
    <row r="37" spans="2:25" ht="18.75" customHeight="1">
      <c r="B37" s="153"/>
      <c r="C37" s="219" t="s">
        <v>55</v>
      </c>
      <c r="D37" s="222" t="s">
        <v>56</v>
      </c>
      <c r="E37" s="211" t="s">
        <v>35</v>
      </c>
      <c r="F37" s="207">
        <v>0.9</v>
      </c>
      <c r="G37" s="214">
        <v>0.6</v>
      </c>
      <c r="H37" s="39" t="s">
        <v>26</v>
      </c>
      <c r="I37" s="64" t="s">
        <v>32</v>
      </c>
      <c r="J37" s="64" t="s">
        <v>32</v>
      </c>
      <c r="K37" s="64" t="s">
        <v>32</v>
      </c>
      <c r="L37" s="64" t="s">
        <v>32</v>
      </c>
      <c r="M37" s="64" t="s">
        <v>32</v>
      </c>
      <c r="N37" s="64" t="s">
        <v>32</v>
      </c>
      <c r="O37" s="64" t="s">
        <v>32</v>
      </c>
      <c r="P37" s="64" t="s">
        <v>32</v>
      </c>
      <c r="Q37" s="64" t="s">
        <v>32</v>
      </c>
      <c r="R37" s="64" t="s">
        <v>32</v>
      </c>
      <c r="S37" s="64" t="s">
        <v>32</v>
      </c>
      <c r="T37" s="64" t="s">
        <v>32</v>
      </c>
      <c r="U37" s="64" t="s">
        <v>32</v>
      </c>
      <c r="V37" s="64" t="s">
        <v>32</v>
      </c>
      <c r="W37" s="64" t="s">
        <v>32</v>
      </c>
      <c r="X37" s="64" t="s">
        <v>32</v>
      </c>
      <c r="Y37" s="58" t="s">
        <v>36</v>
      </c>
    </row>
    <row r="38" spans="2:25" ht="18.75" customHeight="1">
      <c r="B38" s="153"/>
      <c r="C38" s="220"/>
      <c r="D38" s="223"/>
      <c r="E38" s="211"/>
      <c r="F38" s="207"/>
      <c r="G38" s="214"/>
      <c r="H38" s="39" t="s">
        <v>27</v>
      </c>
      <c r="I38" s="26">
        <v>0.9</v>
      </c>
      <c r="J38" s="26">
        <v>0.9</v>
      </c>
      <c r="K38" s="26">
        <v>0.9</v>
      </c>
      <c r="L38" s="27">
        <v>0.9</v>
      </c>
      <c r="M38" s="26">
        <v>0.9</v>
      </c>
      <c r="N38" s="26">
        <v>0.9</v>
      </c>
      <c r="O38" s="26">
        <v>0.9</v>
      </c>
      <c r="P38" s="27">
        <v>0.9</v>
      </c>
      <c r="Q38" s="26">
        <v>0.9</v>
      </c>
      <c r="R38" s="26">
        <v>0.9</v>
      </c>
      <c r="S38" s="26">
        <v>0.9</v>
      </c>
      <c r="T38" s="27">
        <v>0.9</v>
      </c>
      <c r="U38" s="26">
        <v>0.9</v>
      </c>
      <c r="V38" s="26">
        <v>0.9</v>
      </c>
      <c r="W38" s="26">
        <v>0.9</v>
      </c>
      <c r="X38" s="26">
        <v>0.9</v>
      </c>
    </row>
    <row r="39" spans="2:25" ht="18.75" customHeight="1">
      <c r="B39" s="153"/>
      <c r="C39" s="221"/>
      <c r="D39" s="223"/>
      <c r="E39" s="211"/>
      <c r="F39" s="212"/>
      <c r="G39" s="214"/>
      <c r="H39" s="39" t="s">
        <v>28</v>
      </c>
      <c r="I39" s="85">
        <v>0.44</v>
      </c>
      <c r="J39" s="85">
        <v>0.44</v>
      </c>
      <c r="K39" s="84">
        <v>0.91</v>
      </c>
      <c r="L39" s="105">
        <v>0.6</v>
      </c>
      <c r="M39" s="85">
        <v>0</v>
      </c>
      <c r="N39" s="63"/>
      <c r="O39" s="44"/>
      <c r="P39" s="63"/>
      <c r="Q39" s="63"/>
      <c r="R39" s="63"/>
      <c r="S39" s="63"/>
      <c r="T39" s="63"/>
      <c r="U39" s="63"/>
      <c r="V39" s="63"/>
      <c r="W39" s="63"/>
      <c r="X39" s="18"/>
    </row>
    <row r="40" spans="2:25" ht="18.75" customHeight="1">
      <c r="B40" s="153"/>
      <c r="C40" s="175" t="s">
        <v>57</v>
      </c>
      <c r="D40" s="178" t="s">
        <v>56</v>
      </c>
      <c r="E40" s="179" t="s">
        <v>35</v>
      </c>
      <c r="F40" s="205">
        <v>0.9</v>
      </c>
      <c r="G40" s="209">
        <v>0.85</v>
      </c>
      <c r="H40" s="62" t="s">
        <v>26</v>
      </c>
      <c r="I40" s="71" t="s">
        <v>32</v>
      </c>
      <c r="J40" s="71" t="s">
        <v>32</v>
      </c>
      <c r="K40" s="71" t="s">
        <v>32</v>
      </c>
      <c r="L40" s="71" t="s">
        <v>32</v>
      </c>
      <c r="M40" s="71" t="s">
        <v>32</v>
      </c>
      <c r="N40" s="71" t="s">
        <v>32</v>
      </c>
      <c r="O40" s="71" t="s">
        <v>32</v>
      </c>
      <c r="P40" s="71" t="s">
        <v>32</v>
      </c>
      <c r="Q40" s="71" t="s">
        <v>32</v>
      </c>
      <c r="R40" s="71" t="s">
        <v>32</v>
      </c>
      <c r="S40" s="71" t="s">
        <v>32</v>
      </c>
      <c r="T40" s="71" t="s">
        <v>32</v>
      </c>
      <c r="U40" s="71" t="s">
        <v>32</v>
      </c>
      <c r="V40" s="71" t="s">
        <v>32</v>
      </c>
      <c r="W40" s="71" t="s">
        <v>32</v>
      </c>
      <c r="X40" s="71" t="s">
        <v>32</v>
      </c>
      <c r="Y40" s="58" t="s">
        <v>36</v>
      </c>
    </row>
    <row r="41" spans="2:25" ht="18.75" customHeight="1">
      <c r="B41" s="153"/>
      <c r="C41" s="176"/>
      <c r="D41" s="141"/>
      <c r="E41" s="179"/>
      <c r="F41" s="205"/>
      <c r="G41" s="210"/>
      <c r="H41" s="62" t="s">
        <v>27</v>
      </c>
      <c r="I41" s="21">
        <v>0.9</v>
      </c>
      <c r="J41" s="21">
        <v>0.9</v>
      </c>
      <c r="K41" s="21">
        <v>0.9</v>
      </c>
      <c r="L41" s="23">
        <v>0.9</v>
      </c>
      <c r="M41" s="21">
        <v>0.9</v>
      </c>
      <c r="N41" s="21">
        <v>0.9</v>
      </c>
      <c r="O41" s="21">
        <v>0.9</v>
      </c>
      <c r="P41" s="23">
        <v>0.9</v>
      </c>
      <c r="Q41" s="21">
        <v>0.9</v>
      </c>
      <c r="R41" s="21">
        <v>0.9</v>
      </c>
      <c r="S41" s="21">
        <v>0.9</v>
      </c>
      <c r="T41" s="23">
        <v>0.9</v>
      </c>
      <c r="U41" s="21">
        <v>0.9</v>
      </c>
      <c r="V41" s="21">
        <v>0.9</v>
      </c>
      <c r="W41" s="21">
        <v>0.9</v>
      </c>
      <c r="X41" s="21">
        <v>0.9</v>
      </c>
    </row>
    <row r="42" spans="2:25" ht="18.75" customHeight="1">
      <c r="B42" s="153"/>
      <c r="C42" s="177"/>
      <c r="D42" s="141"/>
      <c r="E42" s="179"/>
      <c r="F42" s="205"/>
      <c r="G42" s="210"/>
      <c r="H42" s="62" t="s">
        <v>28</v>
      </c>
      <c r="I42" s="71" t="s">
        <v>32</v>
      </c>
      <c r="J42" s="71" t="s">
        <v>32</v>
      </c>
      <c r="K42" s="91">
        <v>0.85</v>
      </c>
      <c r="L42" s="111">
        <v>0.85</v>
      </c>
      <c r="M42" s="84">
        <v>1</v>
      </c>
      <c r="N42" s="53"/>
      <c r="O42" s="72"/>
      <c r="P42" s="53"/>
      <c r="Q42" s="53"/>
      <c r="R42" s="53"/>
      <c r="S42" s="53"/>
      <c r="T42" s="53"/>
      <c r="U42" s="53"/>
      <c r="V42" s="53"/>
      <c r="W42" s="53"/>
      <c r="X42" s="13"/>
    </row>
    <row r="43" spans="2:25" ht="18.75" customHeight="1">
      <c r="B43" s="153"/>
      <c r="C43" s="225" t="s">
        <v>58</v>
      </c>
      <c r="D43" s="222" t="s">
        <v>56</v>
      </c>
      <c r="E43" s="211" t="s">
        <v>35</v>
      </c>
      <c r="F43" s="207">
        <v>1</v>
      </c>
      <c r="G43" s="213">
        <v>0.93</v>
      </c>
      <c r="H43" s="39" t="s">
        <v>26</v>
      </c>
      <c r="I43" s="64" t="s">
        <v>32</v>
      </c>
      <c r="J43" s="64" t="s">
        <v>32</v>
      </c>
      <c r="K43" s="64" t="s">
        <v>32</v>
      </c>
      <c r="L43" s="64" t="s">
        <v>32</v>
      </c>
      <c r="M43" s="64" t="s">
        <v>32</v>
      </c>
      <c r="N43" s="64" t="s">
        <v>32</v>
      </c>
      <c r="O43" s="64" t="s">
        <v>32</v>
      </c>
      <c r="P43" s="64" t="s">
        <v>32</v>
      </c>
      <c r="Q43" s="64" t="s">
        <v>32</v>
      </c>
      <c r="R43" s="64" t="s">
        <v>32</v>
      </c>
      <c r="S43" s="64" t="s">
        <v>32</v>
      </c>
      <c r="T43" s="64" t="s">
        <v>32</v>
      </c>
      <c r="U43" s="64" t="s">
        <v>32</v>
      </c>
      <c r="V43" s="64" t="s">
        <v>32</v>
      </c>
      <c r="W43" s="64" t="s">
        <v>32</v>
      </c>
      <c r="X43" s="64" t="s">
        <v>32</v>
      </c>
      <c r="Y43" s="58" t="s">
        <v>36</v>
      </c>
    </row>
    <row r="44" spans="2:25" ht="18.75" customHeight="1">
      <c r="B44" s="153"/>
      <c r="C44" s="226"/>
      <c r="D44" s="223"/>
      <c r="E44" s="211"/>
      <c r="F44" s="207"/>
      <c r="G44" s="213"/>
      <c r="H44" s="39" t="s">
        <v>27</v>
      </c>
      <c r="I44" s="26">
        <v>1</v>
      </c>
      <c r="J44" s="26">
        <v>1</v>
      </c>
      <c r="K44" s="26">
        <v>1</v>
      </c>
      <c r="L44" s="27">
        <v>1</v>
      </c>
      <c r="M44" s="26">
        <v>1</v>
      </c>
      <c r="N44" s="26">
        <v>1</v>
      </c>
      <c r="O44" s="26">
        <v>1</v>
      </c>
      <c r="P44" s="27">
        <v>1</v>
      </c>
      <c r="Q44" s="26">
        <v>1</v>
      </c>
      <c r="R44" s="26">
        <v>1</v>
      </c>
      <c r="S44" s="26">
        <v>1</v>
      </c>
      <c r="T44" s="27">
        <v>1</v>
      </c>
      <c r="U44" s="26">
        <v>1</v>
      </c>
      <c r="V44" s="26">
        <v>1</v>
      </c>
      <c r="W44" s="26">
        <v>1</v>
      </c>
      <c r="X44" s="26">
        <v>1</v>
      </c>
      <c r="Y44" s="7" t="s">
        <v>59</v>
      </c>
    </row>
    <row r="45" spans="2:25" ht="18.75" customHeight="1">
      <c r="B45" s="153"/>
      <c r="C45" s="226"/>
      <c r="D45" s="223"/>
      <c r="E45" s="211"/>
      <c r="F45" s="212"/>
      <c r="G45" s="213"/>
      <c r="H45" s="39" t="s">
        <v>28</v>
      </c>
      <c r="I45" s="89" t="s">
        <v>32</v>
      </c>
      <c r="J45" s="89" t="s">
        <v>32</v>
      </c>
      <c r="K45" s="91">
        <v>0.93</v>
      </c>
      <c r="L45" s="111">
        <v>0.93</v>
      </c>
      <c r="M45" s="84">
        <v>1</v>
      </c>
      <c r="N45" s="63"/>
      <c r="O45" s="44"/>
      <c r="P45" s="63"/>
      <c r="Q45" s="63"/>
      <c r="R45" s="63"/>
      <c r="S45" s="63"/>
      <c r="T45" s="63"/>
      <c r="U45" s="63"/>
      <c r="V45" s="63"/>
      <c r="W45" s="63"/>
      <c r="X45" s="18"/>
    </row>
    <row r="46" spans="2:25" ht="18.75" customHeight="1">
      <c r="B46" s="153"/>
      <c r="C46" s="183" t="s">
        <v>60</v>
      </c>
      <c r="D46" s="159" t="s">
        <v>49</v>
      </c>
      <c r="E46" s="184">
        <v>0.71</v>
      </c>
      <c r="F46" s="167">
        <v>0.92</v>
      </c>
      <c r="G46" s="209">
        <v>0.72</v>
      </c>
      <c r="H46" s="115" t="s">
        <v>26</v>
      </c>
      <c r="I46" s="24">
        <v>0.59</v>
      </c>
      <c r="J46" s="24">
        <v>0.77</v>
      </c>
      <c r="K46" s="24">
        <v>0.68</v>
      </c>
      <c r="L46" s="25">
        <v>0.68</v>
      </c>
      <c r="M46" s="24">
        <v>0.7</v>
      </c>
      <c r="N46" s="24">
        <v>0.73</v>
      </c>
      <c r="O46" s="24">
        <v>0.89</v>
      </c>
      <c r="P46" s="25">
        <v>0.77333333333333332</v>
      </c>
      <c r="Q46" s="24">
        <v>0.9</v>
      </c>
      <c r="R46" s="24">
        <v>0.91</v>
      </c>
      <c r="S46" s="24">
        <v>0.9</v>
      </c>
      <c r="T46" s="25">
        <v>0.90333333333333332</v>
      </c>
      <c r="U46" s="24">
        <v>0.9044444444444445</v>
      </c>
      <c r="V46" s="24">
        <v>0.89</v>
      </c>
      <c r="W46" s="24">
        <v>0.78</v>
      </c>
      <c r="X46" s="25">
        <v>0.85814814814814822</v>
      </c>
    </row>
    <row r="47" spans="2:25" ht="18.75" customHeight="1">
      <c r="B47" s="153"/>
      <c r="C47" s="140"/>
      <c r="D47" s="141"/>
      <c r="E47" s="184"/>
      <c r="F47" s="167"/>
      <c r="G47" s="210"/>
      <c r="H47" s="115" t="s">
        <v>27</v>
      </c>
      <c r="I47" s="24">
        <v>0.92</v>
      </c>
      <c r="J47" s="24">
        <v>0.92</v>
      </c>
      <c r="K47" s="24">
        <v>0.92</v>
      </c>
      <c r="L47" s="25">
        <v>0.92</v>
      </c>
      <c r="M47" s="24">
        <v>0.92</v>
      </c>
      <c r="N47" s="24">
        <v>0.92</v>
      </c>
      <c r="O47" s="24">
        <v>0.92</v>
      </c>
      <c r="P47" s="25">
        <v>0.92</v>
      </c>
      <c r="Q47" s="24">
        <v>0.92</v>
      </c>
      <c r="R47" s="24">
        <v>0.92</v>
      </c>
      <c r="S47" s="24">
        <v>0.92</v>
      </c>
      <c r="T47" s="25">
        <v>0.92</v>
      </c>
      <c r="U47" s="24">
        <v>0.92</v>
      </c>
      <c r="V47" s="24">
        <v>0.92</v>
      </c>
      <c r="W47" s="24">
        <v>0.92</v>
      </c>
      <c r="X47" s="25">
        <v>0.92</v>
      </c>
    </row>
    <row r="48" spans="2:25" ht="18.75" customHeight="1">
      <c r="B48" s="153"/>
      <c r="C48" s="140"/>
      <c r="D48" s="141"/>
      <c r="E48" s="184"/>
      <c r="F48" s="167"/>
      <c r="G48" s="210"/>
      <c r="H48" s="115" t="s">
        <v>28</v>
      </c>
      <c r="I48" s="85">
        <v>0.83</v>
      </c>
      <c r="J48" s="85">
        <v>0.6</v>
      </c>
      <c r="K48" s="85" t="s">
        <v>61</v>
      </c>
      <c r="L48" s="105">
        <v>0.72</v>
      </c>
      <c r="M48" s="105">
        <v>0.85</v>
      </c>
      <c r="N48" s="68"/>
      <c r="O48" s="68"/>
      <c r="P48" s="70"/>
      <c r="Q48" s="68"/>
      <c r="R48" s="68"/>
      <c r="S48" s="68"/>
      <c r="T48" s="70"/>
      <c r="U48" s="52"/>
      <c r="V48" s="52"/>
      <c r="W48" s="24"/>
      <c r="X48" s="25"/>
    </row>
    <row r="49" spans="2:25" ht="18.75" customHeight="1">
      <c r="B49" s="153"/>
      <c r="C49" s="163" t="s">
        <v>62</v>
      </c>
      <c r="D49" s="164" t="s">
        <v>49</v>
      </c>
      <c r="E49" s="168" t="s">
        <v>35</v>
      </c>
      <c r="F49" s="206" t="s">
        <v>63</v>
      </c>
      <c r="G49" s="208">
        <v>0.28999999999999998</v>
      </c>
      <c r="H49" s="116" t="s">
        <v>26</v>
      </c>
      <c r="I49" s="26" t="s">
        <v>35</v>
      </c>
      <c r="J49" s="26" t="s">
        <v>35</v>
      </c>
      <c r="K49" s="26" t="s">
        <v>35</v>
      </c>
      <c r="L49" s="27" t="s">
        <v>35</v>
      </c>
      <c r="M49" s="26" t="s">
        <v>35</v>
      </c>
      <c r="N49" s="26" t="s">
        <v>35</v>
      </c>
      <c r="O49" s="26" t="s">
        <v>35</v>
      </c>
      <c r="P49" s="27" t="s">
        <v>35</v>
      </c>
      <c r="Q49" s="26" t="s">
        <v>35</v>
      </c>
      <c r="R49" s="26" t="s">
        <v>35</v>
      </c>
      <c r="S49" s="26" t="s">
        <v>35</v>
      </c>
      <c r="T49" s="27" t="s">
        <v>35</v>
      </c>
      <c r="U49" s="26" t="s">
        <v>35</v>
      </c>
      <c r="V49" s="26" t="s">
        <v>35</v>
      </c>
      <c r="W49" s="26" t="s">
        <v>35</v>
      </c>
      <c r="X49" s="27" t="s">
        <v>35</v>
      </c>
      <c r="Y49" s="58" t="s">
        <v>36</v>
      </c>
    </row>
    <row r="50" spans="2:25" ht="18.75" customHeight="1">
      <c r="B50" s="153"/>
      <c r="C50" s="163"/>
      <c r="D50" s="164"/>
      <c r="E50" s="168"/>
      <c r="F50" s="207"/>
      <c r="G50" s="208"/>
      <c r="H50" s="116" t="s">
        <v>27</v>
      </c>
      <c r="I50" s="204"/>
      <c r="J50" s="204"/>
      <c r="K50" s="204"/>
      <c r="L50" s="81" t="s">
        <v>63</v>
      </c>
      <c r="M50" s="204"/>
      <c r="N50" s="204"/>
      <c r="O50" s="204"/>
      <c r="P50" s="81" t="s">
        <v>63</v>
      </c>
      <c r="Q50" s="204"/>
      <c r="R50" s="204"/>
      <c r="S50" s="204"/>
      <c r="T50" s="81" t="s">
        <v>63</v>
      </c>
      <c r="U50" s="204"/>
      <c r="V50" s="204"/>
      <c r="W50" s="204"/>
      <c r="X50" s="81" t="s">
        <v>63</v>
      </c>
      <c r="Y50" s="7" t="s">
        <v>64</v>
      </c>
    </row>
    <row r="51" spans="2:25" ht="18.75" customHeight="1">
      <c r="B51" s="153"/>
      <c r="C51" s="163"/>
      <c r="D51" s="164"/>
      <c r="E51" s="168"/>
      <c r="F51" s="207"/>
      <c r="G51" s="208"/>
      <c r="H51" s="116" t="s">
        <v>28</v>
      </c>
      <c r="I51" s="26" t="s">
        <v>65</v>
      </c>
      <c r="J51" s="26" t="s">
        <v>66</v>
      </c>
      <c r="K51" s="26">
        <v>0.28799999999999998</v>
      </c>
      <c r="L51" s="105">
        <v>0.28999999999999998</v>
      </c>
      <c r="M51" s="26">
        <v>0.192</v>
      </c>
      <c r="N51" s="26"/>
      <c r="O51" s="26"/>
      <c r="P51" s="27"/>
      <c r="Q51" s="26"/>
      <c r="R51" s="26"/>
      <c r="S51" s="26"/>
      <c r="T51" s="27"/>
      <c r="U51" s="26"/>
      <c r="V51" s="26"/>
      <c r="W51" s="26"/>
      <c r="X51" s="27"/>
    </row>
    <row r="52" spans="2:25" ht="18.75" customHeight="1">
      <c r="B52" s="153"/>
      <c r="C52" s="140" t="s">
        <v>67</v>
      </c>
      <c r="D52" s="141" t="s">
        <v>68</v>
      </c>
      <c r="E52" s="142">
        <f>X52</f>
        <v>40</v>
      </c>
      <c r="F52" s="166">
        <v>55</v>
      </c>
      <c r="G52" s="197">
        <f>X54</f>
        <v>42</v>
      </c>
      <c r="H52" s="115" t="s">
        <v>26</v>
      </c>
      <c r="I52" s="19">
        <v>0</v>
      </c>
      <c r="J52" s="19">
        <v>28</v>
      </c>
      <c r="K52" s="19">
        <v>0</v>
      </c>
      <c r="L52" s="13">
        <v>28</v>
      </c>
      <c r="M52" s="19">
        <v>0</v>
      </c>
      <c r="N52" s="19">
        <v>0</v>
      </c>
      <c r="O52" s="19">
        <v>0</v>
      </c>
      <c r="P52" s="13">
        <v>28</v>
      </c>
      <c r="Q52" s="22">
        <v>7</v>
      </c>
      <c r="R52" s="22">
        <v>0</v>
      </c>
      <c r="S52" s="22">
        <v>0</v>
      </c>
      <c r="T52" s="13">
        <v>35</v>
      </c>
      <c r="U52" s="22">
        <v>1</v>
      </c>
      <c r="V52" s="22">
        <v>0</v>
      </c>
      <c r="W52" s="22">
        <v>4</v>
      </c>
      <c r="X52" s="13">
        <v>40</v>
      </c>
    </row>
    <row r="53" spans="2:25" ht="18.75" customHeight="1">
      <c r="B53" s="153"/>
      <c r="C53" s="140"/>
      <c r="D53" s="141"/>
      <c r="E53" s="142"/>
      <c r="F53" s="166"/>
      <c r="G53" s="197"/>
      <c r="H53" s="115" t="s">
        <v>27</v>
      </c>
      <c r="I53" s="125" t="s">
        <v>32</v>
      </c>
      <c r="J53" s="125"/>
      <c r="K53" s="125"/>
      <c r="L53" s="13">
        <v>13</v>
      </c>
      <c r="M53" s="125" t="s">
        <v>32</v>
      </c>
      <c r="N53" s="125"/>
      <c r="O53" s="125"/>
      <c r="P53" s="13">
        <v>27</v>
      </c>
      <c r="Q53" s="125" t="s">
        <v>32</v>
      </c>
      <c r="R53" s="125"/>
      <c r="S53" s="125"/>
      <c r="T53" s="13">
        <v>41</v>
      </c>
      <c r="U53" s="125" t="s">
        <v>32</v>
      </c>
      <c r="V53" s="125"/>
      <c r="W53" s="125"/>
      <c r="X53" s="13">
        <v>55</v>
      </c>
    </row>
    <row r="54" spans="2:25" ht="18.75" customHeight="1">
      <c r="B54" s="153"/>
      <c r="C54" s="140"/>
      <c r="D54" s="141"/>
      <c r="E54" s="142"/>
      <c r="F54" s="166"/>
      <c r="G54" s="197"/>
      <c r="H54" s="115" t="s">
        <v>28</v>
      </c>
      <c r="I54" s="82">
        <v>0</v>
      </c>
      <c r="J54" s="82">
        <v>0</v>
      </c>
      <c r="K54" s="82">
        <v>17</v>
      </c>
      <c r="L54" s="98">
        <v>17</v>
      </c>
      <c r="M54" s="82">
        <v>25</v>
      </c>
      <c r="N54" s="82"/>
      <c r="O54" s="82"/>
      <c r="P54" s="100">
        <f>SUM(L54:O54)</f>
        <v>42</v>
      </c>
      <c r="Q54" s="82"/>
      <c r="R54" s="82"/>
      <c r="S54" s="82"/>
      <c r="T54" s="100">
        <f>SUM(P54:S54)</f>
        <v>42</v>
      </c>
      <c r="U54" s="82"/>
      <c r="V54" s="82"/>
      <c r="W54" s="82"/>
      <c r="X54" s="100">
        <f>SUM(T54:W54)</f>
        <v>42</v>
      </c>
    </row>
    <row r="55" spans="2:25" ht="18.75" customHeight="1">
      <c r="B55" s="153"/>
      <c r="C55" s="163" t="s">
        <v>69</v>
      </c>
      <c r="D55" s="164" t="s">
        <v>56</v>
      </c>
      <c r="E55" s="165">
        <v>372</v>
      </c>
      <c r="F55" s="126">
        <v>366</v>
      </c>
      <c r="G55" s="127">
        <v>377</v>
      </c>
      <c r="H55" s="116" t="s">
        <v>26</v>
      </c>
      <c r="I55" s="74">
        <v>383</v>
      </c>
      <c r="J55" s="74">
        <v>381</v>
      </c>
      <c r="K55" s="74">
        <v>380</v>
      </c>
      <c r="L55" s="73">
        <v>381</v>
      </c>
      <c r="M55" s="74">
        <v>378</v>
      </c>
      <c r="N55" s="74">
        <v>376</v>
      </c>
      <c r="O55" s="74">
        <v>374</v>
      </c>
      <c r="P55" s="73">
        <v>376</v>
      </c>
      <c r="Q55" s="74">
        <v>372</v>
      </c>
      <c r="R55" s="74">
        <v>370</v>
      </c>
      <c r="S55" s="74">
        <v>371</v>
      </c>
      <c r="T55" s="73">
        <v>371</v>
      </c>
      <c r="U55" s="74">
        <v>372</v>
      </c>
      <c r="V55" s="74">
        <v>371</v>
      </c>
      <c r="W55" s="74">
        <v>371</v>
      </c>
      <c r="X55" s="73">
        <v>371</v>
      </c>
    </row>
    <row r="56" spans="2:25" ht="18.75" customHeight="1">
      <c r="B56" s="153"/>
      <c r="C56" s="163"/>
      <c r="D56" s="164"/>
      <c r="E56" s="165"/>
      <c r="F56" s="126"/>
      <c r="G56" s="127"/>
      <c r="H56" s="116" t="s">
        <v>27</v>
      </c>
      <c r="I56" s="74">
        <v>366</v>
      </c>
      <c r="J56" s="74">
        <v>366</v>
      </c>
      <c r="K56" s="74">
        <v>366</v>
      </c>
      <c r="L56" s="73">
        <v>366</v>
      </c>
      <c r="M56" s="74">
        <v>366</v>
      </c>
      <c r="N56" s="74">
        <v>366</v>
      </c>
      <c r="O56" s="74">
        <v>366</v>
      </c>
      <c r="P56" s="73">
        <v>366</v>
      </c>
      <c r="Q56" s="74">
        <v>366</v>
      </c>
      <c r="R56" s="74">
        <v>366</v>
      </c>
      <c r="S56" s="74">
        <v>366</v>
      </c>
      <c r="T56" s="73">
        <v>366</v>
      </c>
      <c r="U56" s="74">
        <v>366</v>
      </c>
      <c r="V56" s="74">
        <v>366</v>
      </c>
      <c r="W56" s="74">
        <v>366</v>
      </c>
      <c r="X56" s="73">
        <v>366</v>
      </c>
      <c r="Y56" s="7" t="s">
        <v>70</v>
      </c>
    </row>
    <row r="57" spans="2:25" ht="18.75" customHeight="1">
      <c r="B57" s="162"/>
      <c r="C57" s="163"/>
      <c r="D57" s="164"/>
      <c r="E57" s="165"/>
      <c r="F57" s="126"/>
      <c r="G57" s="127"/>
      <c r="H57" s="116" t="s">
        <v>28</v>
      </c>
      <c r="I57" s="83">
        <v>379</v>
      </c>
      <c r="J57" s="83">
        <v>373</v>
      </c>
      <c r="K57" s="83">
        <v>380</v>
      </c>
      <c r="L57" s="106">
        <v>377</v>
      </c>
      <c r="M57" s="83">
        <v>377</v>
      </c>
      <c r="N57" s="74"/>
      <c r="O57" s="74"/>
      <c r="P57" s="73"/>
      <c r="Q57" s="74"/>
      <c r="R57" s="74"/>
      <c r="S57" s="74"/>
      <c r="T57" s="73"/>
      <c r="U57" s="74"/>
      <c r="V57" s="74"/>
      <c r="W57" s="74"/>
      <c r="X57" s="73"/>
    </row>
    <row r="58" spans="2:25" ht="15" hidden="1" customHeight="1">
      <c r="B58" s="152" t="s">
        <v>71</v>
      </c>
      <c r="C58" s="154" t="s">
        <v>72</v>
      </c>
      <c r="D58" s="157" t="s">
        <v>73</v>
      </c>
      <c r="E58" s="132">
        <v>92.5</v>
      </c>
      <c r="F58" s="129">
        <v>93</v>
      </c>
      <c r="G58" s="132">
        <v>92.5</v>
      </c>
      <c r="H58" s="115" t="s">
        <v>26</v>
      </c>
      <c r="I58" s="34">
        <v>91.5</v>
      </c>
      <c r="J58" s="34">
        <v>91.5</v>
      </c>
      <c r="K58" s="34">
        <v>90.5</v>
      </c>
      <c r="L58" s="35">
        <v>90.5</v>
      </c>
      <c r="M58" s="34">
        <v>91</v>
      </c>
      <c r="N58" s="34">
        <v>90.5</v>
      </c>
      <c r="O58" s="34">
        <v>90.5</v>
      </c>
      <c r="P58" s="35">
        <v>90.5</v>
      </c>
      <c r="Q58" s="34">
        <v>89.5</v>
      </c>
      <c r="R58" s="34">
        <v>90.5</v>
      </c>
      <c r="S58" s="34">
        <v>90.5</v>
      </c>
      <c r="T58" s="35">
        <v>90.5</v>
      </c>
      <c r="U58" s="34">
        <v>91.5</v>
      </c>
      <c r="V58" s="34">
        <v>91.5</v>
      </c>
      <c r="W58" s="34">
        <v>92.5</v>
      </c>
      <c r="X58" s="35">
        <v>92.5</v>
      </c>
      <c r="Y58" s="37" t="s">
        <v>74</v>
      </c>
    </row>
    <row r="59" spans="2:25" ht="15" hidden="1" customHeight="1">
      <c r="B59" s="153"/>
      <c r="C59" s="155"/>
      <c r="D59" s="158"/>
      <c r="E59" s="133"/>
      <c r="F59" s="130"/>
      <c r="G59" s="133"/>
      <c r="H59" s="115" t="s">
        <v>27</v>
      </c>
      <c r="I59" s="19">
        <v>93</v>
      </c>
      <c r="J59" s="19">
        <v>93</v>
      </c>
      <c r="K59" s="19">
        <v>93</v>
      </c>
      <c r="L59" s="28">
        <v>93</v>
      </c>
      <c r="M59" s="19">
        <v>93</v>
      </c>
      <c r="N59" s="19">
        <v>93</v>
      </c>
      <c r="O59" s="19">
        <v>93</v>
      </c>
      <c r="P59" s="28">
        <v>93</v>
      </c>
      <c r="Q59" s="19">
        <v>93</v>
      </c>
      <c r="R59" s="19">
        <v>93</v>
      </c>
      <c r="S59" s="19">
        <v>93</v>
      </c>
      <c r="T59" s="28">
        <v>93</v>
      </c>
      <c r="U59" s="19">
        <v>93</v>
      </c>
      <c r="V59" s="19">
        <v>93</v>
      </c>
      <c r="W59" s="19">
        <v>93</v>
      </c>
      <c r="X59" s="28">
        <v>93</v>
      </c>
      <c r="Y59" s="7" t="s">
        <v>75</v>
      </c>
    </row>
    <row r="60" spans="2:25" ht="15" hidden="1" customHeight="1">
      <c r="B60" s="153"/>
      <c r="C60" s="156"/>
      <c r="D60" s="159"/>
      <c r="E60" s="134"/>
      <c r="F60" s="131"/>
      <c r="G60" s="134"/>
      <c r="H60" s="115" t="s">
        <v>28</v>
      </c>
      <c r="I60" s="36">
        <v>92.5</v>
      </c>
      <c r="J60" s="19"/>
      <c r="K60" s="19"/>
      <c r="L60" s="20"/>
      <c r="M60" s="22"/>
      <c r="N60" s="22"/>
      <c r="O60" s="22"/>
      <c r="P60" s="20"/>
      <c r="Q60" s="22"/>
      <c r="R60" s="22"/>
      <c r="S60" s="22"/>
      <c r="T60" s="20"/>
      <c r="U60" s="22"/>
      <c r="V60" s="117"/>
      <c r="W60" s="117"/>
      <c r="X60" s="20"/>
    </row>
    <row r="61" spans="2:25" ht="18.75" customHeight="1">
      <c r="B61" s="144" t="s">
        <v>76</v>
      </c>
      <c r="C61" s="143" t="s">
        <v>77</v>
      </c>
      <c r="D61" s="141" t="s">
        <v>39</v>
      </c>
      <c r="E61" s="150">
        <f>L61+P61+T61+X61</f>
        <v>30.187825999999998</v>
      </c>
      <c r="F61" s="136">
        <f>SUM(L62,P62,T62,X62)</f>
        <v>28</v>
      </c>
      <c r="G61" s="128">
        <v>6.7</v>
      </c>
      <c r="H61" s="115" t="s">
        <v>26</v>
      </c>
      <c r="I61" s="75">
        <v>1.7</v>
      </c>
      <c r="J61" s="75">
        <v>2.5150000000000001</v>
      </c>
      <c r="K61" s="75">
        <v>2.2999999999999998</v>
      </c>
      <c r="L61" s="76">
        <f>K61+J61+I61</f>
        <v>6.5149999999999997</v>
      </c>
      <c r="M61" s="75">
        <v>2.8</v>
      </c>
      <c r="N61" s="75">
        <v>2.2000000000000002</v>
      </c>
      <c r="O61" s="75">
        <v>2.972826</v>
      </c>
      <c r="P61" s="76">
        <f>O61+N61+M61</f>
        <v>7.9728260000000004</v>
      </c>
      <c r="Q61" s="75">
        <v>2</v>
      </c>
      <c r="R61" s="75">
        <v>2.2999999999999998</v>
      </c>
      <c r="S61" s="75">
        <v>2.7</v>
      </c>
      <c r="T61" s="76">
        <f>S61+R61+Q61</f>
        <v>7</v>
      </c>
      <c r="U61" s="75">
        <v>3.1</v>
      </c>
      <c r="V61" s="75">
        <v>2.6</v>
      </c>
      <c r="W61" s="75">
        <v>3.04</v>
      </c>
      <c r="X61" s="76">
        <v>8.6999999999999993</v>
      </c>
    </row>
    <row r="62" spans="2:25" ht="18.75" customHeight="1">
      <c r="B62" s="145"/>
      <c r="C62" s="143"/>
      <c r="D62" s="141"/>
      <c r="E62" s="150"/>
      <c r="F62" s="136"/>
      <c r="G62" s="128"/>
      <c r="H62" s="115" t="s">
        <v>27</v>
      </c>
      <c r="I62" s="125" t="s">
        <v>32</v>
      </c>
      <c r="J62" s="125"/>
      <c r="K62" s="125"/>
      <c r="L62" s="76">
        <v>5</v>
      </c>
      <c r="M62" s="125" t="s">
        <v>32</v>
      </c>
      <c r="N62" s="125"/>
      <c r="O62" s="125"/>
      <c r="P62" s="76">
        <v>7</v>
      </c>
      <c r="Q62" s="125" t="s">
        <v>32</v>
      </c>
      <c r="R62" s="125"/>
      <c r="S62" s="125"/>
      <c r="T62" s="76">
        <v>7</v>
      </c>
      <c r="U62" s="76" t="s">
        <v>32</v>
      </c>
      <c r="V62" s="114"/>
      <c r="W62" s="114"/>
      <c r="X62" s="76">
        <v>9</v>
      </c>
    </row>
    <row r="63" spans="2:25" ht="18.75" customHeight="1">
      <c r="B63" s="145"/>
      <c r="C63" s="143"/>
      <c r="D63" s="141"/>
      <c r="E63" s="150"/>
      <c r="F63" s="136"/>
      <c r="G63" s="128"/>
      <c r="H63" s="115" t="s">
        <v>28</v>
      </c>
      <c r="I63" s="114">
        <v>1.333</v>
      </c>
      <c r="J63" s="114">
        <v>1.4</v>
      </c>
      <c r="K63" s="114">
        <v>2.5</v>
      </c>
      <c r="L63" s="99">
        <f>K63+J63+I63</f>
        <v>5.2329999999999997</v>
      </c>
      <c r="M63" s="114">
        <v>1.5</v>
      </c>
      <c r="N63" s="114"/>
      <c r="O63" s="114"/>
      <c r="P63" s="101">
        <f>O63+N63+M63</f>
        <v>1.5</v>
      </c>
      <c r="Q63" s="114"/>
      <c r="R63" s="114"/>
      <c r="S63" s="114"/>
      <c r="T63" s="101">
        <f>S63+R63+Q63</f>
        <v>0</v>
      </c>
      <c r="U63" s="114"/>
      <c r="V63" s="114"/>
      <c r="W63" s="114"/>
      <c r="X63" s="101">
        <f>W63+V63+U63</f>
        <v>0</v>
      </c>
      <c r="Y63" s="7" t="s">
        <v>78</v>
      </c>
    </row>
    <row r="64" spans="2:25" ht="15.6">
      <c r="B64" s="145"/>
      <c r="C64" s="137" t="s">
        <v>79</v>
      </c>
      <c r="D64" s="138" t="s">
        <v>80</v>
      </c>
      <c r="E64" s="139">
        <f>L64+P64+T64+X64</f>
        <v>-8.6023756750049181</v>
      </c>
      <c r="F64" s="135">
        <f>SUM(L65,P65,T65,X65)</f>
        <v>-7.044542371183633</v>
      </c>
      <c r="G64" s="124">
        <f>L66</f>
        <v>-2.0943954514923262</v>
      </c>
      <c r="H64" s="118" t="s">
        <v>26</v>
      </c>
      <c r="I64" s="77">
        <v>-0.53</v>
      </c>
      <c r="J64" s="77">
        <v>-0.51</v>
      </c>
      <c r="K64" s="77">
        <v>-1.1200000000000001</v>
      </c>
      <c r="L64" s="78">
        <f>SUM(I64:K64)</f>
        <v>-2.16</v>
      </c>
      <c r="M64" s="77">
        <v>-0.54</v>
      </c>
      <c r="N64" s="77">
        <v>0.1</v>
      </c>
      <c r="O64" s="77">
        <v>-1.5379029574817082</v>
      </c>
      <c r="P64" s="78">
        <f>SUM(M64:O64)</f>
        <v>-1.9779029574817084</v>
      </c>
      <c r="Q64" s="77">
        <v>-0.9</v>
      </c>
      <c r="R64" s="77">
        <v>-0.83660522126404935</v>
      </c>
      <c r="S64" s="77">
        <v>-0.41</v>
      </c>
      <c r="T64" s="78">
        <f>SUM(Q64:S64)</f>
        <v>-2.1466052212640494</v>
      </c>
      <c r="U64" s="77">
        <v>-0.48</v>
      </c>
      <c r="V64" s="77">
        <v>-0.34</v>
      </c>
      <c r="W64" s="77">
        <v>-1.4978674962591589</v>
      </c>
      <c r="X64" s="78">
        <f>SUM(U64:W64)</f>
        <v>-2.3178674962591588</v>
      </c>
    </row>
    <row r="65" spans="2:24" ht="15.6">
      <c r="B65" s="145"/>
      <c r="C65" s="137"/>
      <c r="D65" s="138"/>
      <c r="E65" s="139"/>
      <c r="F65" s="135"/>
      <c r="G65" s="124"/>
      <c r="H65" s="118" t="s">
        <v>27</v>
      </c>
      <c r="I65" s="77">
        <v>-0.56000000000000028</v>
      </c>
      <c r="J65" s="77">
        <v>-0.53000000000000025</v>
      </c>
      <c r="K65" s="77">
        <v>-1.1399999999999999</v>
      </c>
      <c r="L65" s="78">
        <f>SUM(I65:K65)</f>
        <v>-2.2300000000000004</v>
      </c>
      <c r="M65" s="77">
        <v>-0.79356856199315773</v>
      </c>
      <c r="N65" s="77">
        <v>-0.48699076659394502</v>
      </c>
      <c r="O65" s="77">
        <v>-0.71505445581487914</v>
      </c>
      <c r="P65" s="78">
        <f>SUM(M65:O65)</f>
        <v>-1.9956137844019817</v>
      </c>
      <c r="Q65" s="77">
        <v>-0.4710695833326044</v>
      </c>
      <c r="R65" s="77">
        <v>-0.47785080650561662</v>
      </c>
      <c r="S65" s="77">
        <v>-0.56812301870144577</v>
      </c>
      <c r="T65" s="78">
        <f>SUM(Q65:S65)</f>
        <v>-1.5170434085396667</v>
      </c>
      <c r="U65" s="77">
        <v>-0.32641448602076573</v>
      </c>
      <c r="V65" s="77">
        <v>-0.37253694072630583</v>
      </c>
      <c r="W65" s="77">
        <v>-0.60293375149491213</v>
      </c>
      <c r="X65" s="78">
        <f>SUM(U65:W65)</f>
        <v>-1.3018851782419838</v>
      </c>
    </row>
    <row r="66" spans="2:24" ht="15.6">
      <c r="B66" s="145"/>
      <c r="C66" s="137"/>
      <c r="D66" s="138"/>
      <c r="E66" s="139"/>
      <c r="F66" s="135"/>
      <c r="G66" s="124"/>
      <c r="H66" s="118" t="s">
        <v>28</v>
      </c>
      <c r="I66" s="90">
        <v>-0.79765662126368642</v>
      </c>
      <c r="J66" s="90">
        <v>-0.79575186151144006</v>
      </c>
      <c r="K66" s="97">
        <v>-0.50098696871719961</v>
      </c>
      <c r="L66" s="107">
        <f>SUM(I66:K66)</f>
        <v>-2.0943954514923262</v>
      </c>
      <c r="M66" s="228"/>
      <c r="N66" s="77"/>
      <c r="O66" s="77"/>
      <c r="P66" s="78"/>
      <c r="Q66" s="77"/>
      <c r="R66" s="77"/>
      <c r="S66" s="77"/>
      <c r="T66" s="78"/>
      <c r="U66" s="77"/>
      <c r="V66" s="77"/>
      <c r="W66" s="77"/>
      <c r="X66" s="78"/>
    </row>
    <row r="67" spans="2:24" ht="15" customHeight="1">
      <c r="B67" s="145"/>
      <c r="C67" s="147" t="s">
        <v>81</v>
      </c>
      <c r="D67" s="148" t="s">
        <v>80</v>
      </c>
      <c r="E67" s="149">
        <f>L67+P67+T67+X67</f>
        <v>-20.352628295579311</v>
      </c>
      <c r="F67" s="120">
        <f>SUM(L68,P68,T68,X68)</f>
        <v>-24.139721750769979</v>
      </c>
      <c r="G67" s="123">
        <f>L69</f>
        <v>-5.0249400708730434</v>
      </c>
      <c r="H67" s="119" t="s">
        <v>26</v>
      </c>
      <c r="I67" s="79">
        <v>-1.28</v>
      </c>
      <c r="J67" s="79">
        <v>-1.84</v>
      </c>
      <c r="K67" s="79">
        <v>-1.2</v>
      </c>
      <c r="L67" s="80">
        <f>SUM(I67:K67)</f>
        <v>-4.32</v>
      </c>
      <c r="M67" s="79">
        <v>-1.62</v>
      </c>
      <c r="N67" s="79">
        <v>-1.37</v>
      </c>
      <c r="O67" s="79">
        <v>-1.5</v>
      </c>
      <c r="P67" s="80">
        <f>SUM(M67:O67)</f>
        <v>-4.49</v>
      </c>
      <c r="Q67" s="79">
        <v>-1.91</v>
      </c>
      <c r="R67" s="79">
        <v>-2.3939222677777598</v>
      </c>
      <c r="S67" s="79">
        <v>-2.1</v>
      </c>
      <c r="T67" s="80">
        <f>SUM(Q67:S67)</f>
        <v>-6.4039222677777605</v>
      </c>
      <c r="U67" s="79">
        <v>-1.71</v>
      </c>
      <c r="V67" s="79">
        <v>-1.76033753077637</v>
      </c>
      <c r="W67" s="79">
        <v>-1.66836849702518</v>
      </c>
      <c r="X67" s="80">
        <f>SUM(U67:W67)</f>
        <v>-5.1387060278015504</v>
      </c>
    </row>
    <row r="68" spans="2:24" ht="15" customHeight="1">
      <c r="B68" s="145"/>
      <c r="C68" s="147"/>
      <c r="D68" s="148"/>
      <c r="E68" s="149"/>
      <c r="F68" s="121"/>
      <c r="G68" s="123"/>
      <c r="H68" s="119" t="s">
        <v>27</v>
      </c>
      <c r="I68" s="77">
        <v>-2.0772249999000914</v>
      </c>
      <c r="J68" s="77">
        <v>-2.0772249999000914</v>
      </c>
      <c r="K68" s="77">
        <v>-2.0772249999000914</v>
      </c>
      <c r="L68" s="78">
        <f>SUM(I68:K68)</f>
        <v>-6.2316749997002745</v>
      </c>
      <c r="M68" s="77">
        <v>-1.7222249999000916</v>
      </c>
      <c r="N68" s="77">
        <v>-1.7222249999000916</v>
      </c>
      <c r="O68" s="77">
        <v>-1.7222249999000916</v>
      </c>
      <c r="P68" s="78">
        <f>SUM(M68:O68)</f>
        <v>-5.166674999700275</v>
      </c>
      <c r="Q68" s="77">
        <v>-2.1922261252282387</v>
      </c>
      <c r="R68" s="77">
        <v>-2.1922261252282387</v>
      </c>
      <c r="S68" s="77">
        <v>-2.1922261252282387</v>
      </c>
      <c r="T68" s="78">
        <f>SUM(Q68:S68)</f>
        <v>-6.5766783756847165</v>
      </c>
      <c r="U68" s="77">
        <v>-2.0548977918949052</v>
      </c>
      <c r="V68" s="77">
        <v>-2.0548977918949052</v>
      </c>
      <c r="W68" s="77">
        <v>-2.0548977918949052</v>
      </c>
      <c r="X68" s="78">
        <f>SUM(U68:W68)</f>
        <v>-6.1646933756847151</v>
      </c>
    </row>
    <row r="69" spans="2:24" ht="15" customHeight="1">
      <c r="B69" s="146"/>
      <c r="C69" s="147"/>
      <c r="D69" s="148"/>
      <c r="E69" s="149"/>
      <c r="F69" s="122"/>
      <c r="G69" s="123"/>
      <c r="H69" s="119" t="s">
        <v>28</v>
      </c>
      <c r="I69" s="97">
        <v>-0.94761507097295195</v>
      </c>
      <c r="J69" s="97">
        <v>-2.0001000000000002</v>
      </c>
      <c r="K69" s="97">
        <v>-2.0772249999000914</v>
      </c>
      <c r="L69" s="107">
        <f>SUM(I69:K69)</f>
        <v>-5.0249400708730434</v>
      </c>
      <c r="M69" s="228"/>
      <c r="N69" s="79"/>
      <c r="O69" s="79"/>
      <c r="P69" s="80"/>
      <c r="Q69" s="79"/>
      <c r="R69" s="79"/>
      <c r="S69" s="79"/>
      <c r="T69" s="80"/>
      <c r="U69" s="79"/>
      <c r="V69" s="79"/>
      <c r="W69" s="79"/>
      <c r="X69" s="80"/>
    </row>
    <row r="94" spans="14:14" ht="15" customHeight="1">
      <c r="N94" s="40">
        <f>SUM(L66:N66)-SUM(L65:N65)</f>
        <v>1.4161638770947769</v>
      </c>
    </row>
    <row r="95" spans="14:14" ht="15" customHeight="1">
      <c r="N95" s="40">
        <f>SUM(L69:N69)-SUM(L68:N68)</f>
        <v>4.6511849286274138</v>
      </c>
    </row>
  </sheetData>
  <mergeCells count="127">
    <mergeCell ref="G19:G21"/>
    <mergeCell ref="E16:E18"/>
    <mergeCell ref="C16:C18"/>
    <mergeCell ref="C19:C21"/>
    <mergeCell ref="D19:D21"/>
    <mergeCell ref="E19:E21"/>
    <mergeCell ref="G46:G48"/>
    <mergeCell ref="I50:K50"/>
    <mergeCell ref="G52:G54"/>
    <mergeCell ref="G22:G24"/>
    <mergeCell ref="C37:C39"/>
    <mergeCell ref="D37:D39"/>
    <mergeCell ref="F19:F21"/>
    <mergeCell ref="F22:F24"/>
    <mergeCell ref="F31:F33"/>
    <mergeCell ref="C43:C45"/>
    <mergeCell ref="D43:D45"/>
    <mergeCell ref="F28:F30"/>
    <mergeCell ref="G28:G30"/>
    <mergeCell ref="M53:O53"/>
    <mergeCell ref="I53:K53"/>
    <mergeCell ref="Q53:S53"/>
    <mergeCell ref="U53:W53"/>
    <mergeCell ref="M50:O50"/>
    <mergeCell ref="Q50:S50"/>
    <mergeCell ref="U50:W50"/>
    <mergeCell ref="E34:E36"/>
    <mergeCell ref="F34:F36"/>
    <mergeCell ref="F49:F51"/>
    <mergeCell ref="G49:G51"/>
    <mergeCell ref="F40:F42"/>
    <mergeCell ref="G40:G42"/>
    <mergeCell ref="E43:E45"/>
    <mergeCell ref="F43:F45"/>
    <mergeCell ref="G43:G45"/>
    <mergeCell ref="E37:E39"/>
    <mergeCell ref="F37:F39"/>
    <mergeCell ref="G37:G39"/>
    <mergeCell ref="B4:B18"/>
    <mergeCell ref="C31:C33"/>
    <mergeCell ref="C10:C12"/>
    <mergeCell ref="D10:D12"/>
    <mergeCell ref="E10:E12"/>
    <mergeCell ref="C7:C9"/>
    <mergeCell ref="D7:D9"/>
    <mergeCell ref="E7:E9"/>
    <mergeCell ref="C22:C24"/>
    <mergeCell ref="D22:D24"/>
    <mergeCell ref="E22:E24"/>
    <mergeCell ref="C28:C30"/>
    <mergeCell ref="D28:D30"/>
    <mergeCell ref="E28:E30"/>
    <mergeCell ref="I2:X2"/>
    <mergeCell ref="C46:C48"/>
    <mergeCell ref="D46:D48"/>
    <mergeCell ref="E46:E48"/>
    <mergeCell ref="C4:C6"/>
    <mergeCell ref="D31:D33"/>
    <mergeCell ref="E31:E33"/>
    <mergeCell ref="D4:D6"/>
    <mergeCell ref="E4:E6"/>
    <mergeCell ref="D16:D18"/>
    <mergeCell ref="G4:G6"/>
    <mergeCell ref="C13:C15"/>
    <mergeCell ref="D13:D15"/>
    <mergeCell ref="E13:E15"/>
    <mergeCell ref="F10:F12"/>
    <mergeCell ref="G10:G12"/>
    <mergeCell ref="F7:F9"/>
    <mergeCell ref="G31:G33"/>
    <mergeCell ref="F4:F6"/>
    <mergeCell ref="F16:F18"/>
    <mergeCell ref="G7:G9"/>
    <mergeCell ref="G34:G36"/>
    <mergeCell ref="G16:G18"/>
    <mergeCell ref="F13:F15"/>
    <mergeCell ref="G13:G15"/>
    <mergeCell ref="B58:B60"/>
    <mergeCell ref="C58:C60"/>
    <mergeCell ref="D58:D60"/>
    <mergeCell ref="B19:B33"/>
    <mergeCell ref="C34:C36"/>
    <mergeCell ref="D34:D36"/>
    <mergeCell ref="B34:B57"/>
    <mergeCell ref="C55:C57"/>
    <mergeCell ref="D55:D57"/>
    <mergeCell ref="E55:E57"/>
    <mergeCell ref="F52:F54"/>
    <mergeCell ref="F46:F48"/>
    <mergeCell ref="C49:C51"/>
    <mergeCell ref="D49:D51"/>
    <mergeCell ref="E49:E51"/>
    <mergeCell ref="C25:C27"/>
    <mergeCell ref="D25:D27"/>
    <mergeCell ref="E25:E27"/>
    <mergeCell ref="F25:F27"/>
    <mergeCell ref="G25:G27"/>
    <mergeCell ref="C40:C42"/>
    <mergeCell ref="D40:D42"/>
    <mergeCell ref="E40:E42"/>
    <mergeCell ref="C64:C66"/>
    <mergeCell ref="D64:D66"/>
    <mergeCell ref="E64:E66"/>
    <mergeCell ref="C52:C54"/>
    <mergeCell ref="D52:D54"/>
    <mergeCell ref="E52:E54"/>
    <mergeCell ref="C61:C63"/>
    <mergeCell ref="B61:B69"/>
    <mergeCell ref="C67:C69"/>
    <mergeCell ref="D67:D69"/>
    <mergeCell ref="E67:E69"/>
    <mergeCell ref="D61:D63"/>
    <mergeCell ref="E61:E63"/>
    <mergeCell ref="E58:E60"/>
    <mergeCell ref="F67:F69"/>
    <mergeCell ref="G67:G69"/>
    <mergeCell ref="G64:G66"/>
    <mergeCell ref="M62:O62"/>
    <mergeCell ref="Q62:S62"/>
    <mergeCell ref="F55:F57"/>
    <mergeCell ref="G55:G57"/>
    <mergeCell ref="G61:G63"/>
    <mergeCell ref="F58:F60"/>
    <mergeCell ref="G58:G60"/>
    <mergeCell ref="I62:K62"/>
    <mergeCell ref="F64:F66"/>
    <mergeCell ref="F61:F6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562A-E356-4B2D-A63C-39D2CDCD6A5B}">
  <dimension ref="A1:F16"/>
  <sheetViews>
    <sheetView workbookViewId="0">
      <selection activeCell="A16" sqref="A16"/>
    </sheetView>
  </sheetViews>
  <sheetFormatPr defaultColWidth="9.140625" defaultRowHeight="14.45"/>
  <cols>
    <col min="1" max="1" width="71.5703125" style="31" customWidth="1"/>
    <col min="2" max="2" width="77.5703125" style="31" customWidth="1"/>
    <col min="3" max="3" width="31.42578125" style="31" customWidth="1"/>
    <col min="4" max="16384" width="9.140625" style="31"/>
  </cols>
  <sheetData>
    <row r="1" spans="1:6">
      <c r="A1" s="32" t="s">
        <v>82</v>
      </c>
      <c r="B1" s="32" t="s">
        <v>83</v>
      </c>
    </row>
    <row r="3" spans="1:6" ht="29.1">
      <c r="A3" s="31" t="s">
        <v>84</v>
      </c>
      <c r="B3" s="31" t="s">
        <v>85</v>
      </c>
    </row>
    <row r="4" spans="1:6">
      <c r="A4" s="41" t="s">
        <v>86</v>
      </c>
      <c r="B4" s="41" t="s">
        <v>87</v>
      </c>
    </row>
    <row r="5" spans="1:6" ht="29.1">
      <c r="A5" s="41" t="s">
        <v>88</v>
      </c>
      <c r="B5" s="41" t="s">
        <v>89</v>
      </c>
    </row>
    <row r="6" spans="1:6">
      <c r="A6" s="65" t="s">
        <v>90</v>
      </c>
      <c r="B6" s="65" t="s">
        <v>91</v>
      </c>
    </row>
    <row r="7" spans="1:6">
      <c r="A7" s="31" t="s">
        <v>92</v>
      </c>
      <c r="B7" s="31" t="s">
        <v>93</v>
      </c>
    </row>
    <row r="8" spans="1:6" ht="15.6">
      <c r="A8" s="67" t="s">
        <v>94</v>
      </c>
      <c r="B8" s="67"/>
      <c r="C8" s="30"/>
      <c r="D8" s="30"/>
      <c r="E8" s="30"/>
      <c r="F8" s="30"/>
    </row>
    <row r="9" spans="1:6" ht="15.6">
      <c r="A9" s="67" t="s">
        <v>95</v>
      </c>
      <c r="B9" s="67"/>
      <c r="C9" s="30"/>
      <c r="D9" s="30"/>
      <c r="E9" s="30"/>
      <c r="F9" s="30"/>
    </row>
    <row r="10" spans="1:6" ht="77.45">
      <c r="A10" s="42" t="s">
        <v>96</v>
      </c>
      <c r="B10" s="42" t="s">
        <v>97</v>
      </c>
      <c r="C10" s="30"/>
      <c r="D10" s="30"/>
      <c r="E10" s="30"/>
      <c r="F10" s="30"/>
    </row>
    <row r="11" spans="1:6" ht="46.5">
      <c r="A11" s="42" t="s">
        <v>98</v>
      </c>
      <c r="B11" s="42" t="s">
        <v>99</v>
      </c>
      <c r="C11" s="30"/>
      <c r="D11" s="30"/>
      <c r="E11" s="30"/>
      <c r="F11" s="30"/>
    </row>
    <row r="12" spans="1:6" ht="15.6">
      <c r="A12" s="65" t="s">
        <v>100</v>
      </c>
      <c r="C12" s="30"/>
    </row>
    <row r="13" spans="1:6">
      <c r="A13" s="65" t="s">
        <v>101</v>
      </c>
    </row>
    <row r="14" spans="1:6" ht="15.6">
      <c r="A14" s="31" t="s">
        <v>102</v>
      </c>
      <c r="C14" s="30"/>
      <c r="D14" s="30"/>
    </row>
    <row r="16" spans="1:6">
      <c r="A16" s="31"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5036-8F66-4319-848F-CAD3FAB6DF02}">
  <dimension ref="A1:F45"/>
  <sheetViews>
    <sheetView workbookViewId="0">
      <selection activeCell="E26" sqref="E26"/>
    </sheetView>
  </sheetViews>
  <sheetFormatPr defaultRowHeight="14.45" outlineLevelRow="1"/>
  <cols>
    <col min="2" max="3" width="19.7109375" bestFit="1" customWidth="1"/>
    <col min="4" max="4" width="19.5703125" customWidth="1"/>
    <col min="5" max="5" width="16" bestFit="1" customWidth="1"/>
  </cols>
  <sheetData>
    <row r="1" spans="1:6">
      <c r="F1" t="s">
        <v>104</v>
      </c>
    </row>
    <row r="2" spans="1:6">
      <c r="B2" s="4" t="s">
        <v>105</v>
      </c>
    </row>
    <row r="3" spans="1:6">
      <c r="B3" s="4" t="s">
        <v>106</v>
      </c>
      <c r="C3" s="4" t="s">
        <v>107</v>
      </c>
      <c r="D3" s="4" t="s">
        <v>108</v>
      </c>
      <c r="E3" s="4" t="s">
        <v>109</v>
      </c>
    </row>
    <row r="4" spans="1:6" outlineLevel="1">
      <c r="A4">
        <v>1</v>
      </c>
      <c r="B4" s="2" t="s">
        <v>110</v>
      </c>
    </row>
    <row r="5" spans="1:6" outlineLevel="1">
      <c r="B5" t="s">
        <v>111</v>
      </c>
      <c r="C5" s="3" t="s">
        <v>112</v>
      </c>
      <c r="D5" s="2"/>
      <c r="E5" s="2"/>
    </row>
    <row r="6" spans="1:6" outlineLevel="1">
      <c r="B6" t="s">
        <v>113</v>
      </c>
      <c r="C6" s="3" t="s">
        <v>114</v>
      </c>
      <c r="D6" s="2"/>
      <c r="E6" s="2"/>
    </row>
    <row r="7" spans="1:6" outlineLevel="1">
      <c r="B7" t="s">
        <v>115</v>
      </c>
      <c r="C7" s="3" t="s">
        <v>116</v>
      </c>
      <c r="D7" s="1"/>
      <c r="E7" s="1"/>
    </row>
    <row r="8" spans="1:6" outlineLevel="1">
      <c r="B8" s="2"/>
      <c r="D8" s="2"/>
    </row>
    <row r="9" spans="1:6" outlineLevel="1">
      <c r="B9" s="2"/>
      <c r="D9" s="2"/>
    </row>
    <row r="10" spans="1:6" outlineLevel="1">
      <c r="A10">
        <v>2</v>
      </c>
      <c r="B10" s="2"/>
      <c r="D10" s="2"/>
    </row>
    <row r="11" spans="1:6" outlineLevel="1">
      <c r="A11">
        <v>3</v>
      </c>
      <c r="B11" s="2"/>
      <c r="D11" s="2"/>
    </row>
    <row r="12" spans="1:6" outlineLevel="1">
      <c r="A12">
        <v>4</v>
      </c>
      <c r="B12" s="2"/>
      <c r="D12" s="2"/>
    </row>
    <row r="13" spans="1:6" outlineLevel="1">
      <c r="A13">
        <v>5</v>
      </c>
      <c r="B13" s="2"/>
      <c r="D13" s="2"/>
    </row>
    <row r="14" spans="1:6" outlineLevel="1">
      <c r="A14">
        <v>6</v>
      </c>
      <c r="B14" s="2"/>
      <c r="D14" s="2"/>
    </row>
    <row r="15" spans="1:6" outlineLevel="1">
      <c r="A15">
        <v>7</v>
      </c>
      <c r="B15" s="2"/>
      <c r="D15" s="2"/>
    </row>
    <row r="16" spans="1:6" outlineLevel="1">
      <c r="A16">
        <v>8</v>
      </c>
      <c r="B16" s="2"/>
      <c r="D16" s="2"/>
    </row>
    <row r="17" spans="1:4" outlineLevel="1">
      <c r="A17">
        <v>9</v>
      </c>
      <c r="B17" s="2"/>
      <c r="D17" s="2"/>
    </row>
    <row r="18" spans="1:4" outlineLevel="1">
      <c r="A18">
        <v>10</v>
      </c>
      <c r="B18" s="2"/>
      <c r="D18" s="2"/>
    </row>
    <row r="19" spans="1:4" outlineLevel="1">
      <c r="A19">
        <v>11</v>
      </c>
      <c r="B19" s="2"/>
      <c r="D19" s="2"/>
    </row>
    <row r="20" spans="1:4" outlineLevel="1">
      <c r="A20">
        <v>12</v>
      </c>
      <c r="B20" s="2"/>
      <c r="D20" s="2"/>
    </row>
    <row r="21" spans="1:4" outlineLevel="1">
      <c r="A21">
        <v>13</v>
      </c>
      <c r="B21" s="2"/>
      <c r="D21" s="2"/>
    </row>
    <row r="22" spans="1:4" outlineLevel="1">
      <c r="A22">
        <v>14</v>
      </c>
      <c r="B22" s="2"/>
      <c r="D22" s="2"/>
    </row>
    <row r="23" spans="1:4" outlineLevel="1">
      <c r="A23">
        <v>15</v>
      </c>
      <c r="B23" s="2"/>
      <c r="D23" s="2"/>
    </row>
    <row r="24" spans="1:4" outlineLevel="1">
      <c r="A24">
        <v>16</v>
      </c>
      <c r="B24" s="2"/>
      <c r="D24" s="2"/>
    </row>
    <row r="25" spans="1:4" outlineLevel="1">
      <c r="A25">
        <v>17</v>
      </c>
      <c r="B25" s="2"/>
      <c r="D25" s="2"/>
    </row>
    <row r="26" spans="1:4">
      <c r="B26" t="s">
        <v>108</v>
      </c>
      <c r="D26" t="s">
        <v>108</v>
      </c>
    </row>
    <row r="27" spans="1:4">
      <c r="A27">
        <v>1</v>
      </c>
    </row>
    <row r="28" spans="1:4">
      <c r="A28">
        <v>2</v>
      </c>
    </row>
    <row r="29" spans="1:4">
      <c r="A29">
        <v>3</v>
      </c>
    </row>
    <row r="30" spans="1:4">
      <c r="A30">
        <v>4</v>
      </c>
    </row>
    <row r="31" spans="1:4">
      <c r="A31">
        <v>5</v>
      </c>
    </row>
    <row r="32" spans="1:4">
      <c r="A32">
        <v>6</v>
      </c>
    </row>
    <row r="33" spans="1:3">
      <c r="A33">
        <v>7</v>
      </c>
    </row>
    <row r="34" spans="1:3">
      <c r="A34">
        <v>8</v>
      </c>
    </row>
    <row r="35" spans="1:3">
      <c r="A35">
        <v>9</v>
      </c>
    </row>
    <row r="36" spans="1:3">
      <c r="A36">
        <v>10</v>
      </c>
    </row>
    <row r="37" spans="1:3">
      <c r="A37">
        <v>11</v>
      </c>
    </row>
    <row r="38" spans="1:3">
      <c r="A38">
        <v>12</v>
      </c>
    </row>
    <row r="39" spans="1:3">
      <c r="A39">
        <v>13</v>
      </c>
    </row>
    <row r="40" spans="1:3">
      <c r="A40">
        <v>14</v>
      </c>
    </row>
    <row r="41" spans="1:3">
      <c r="A41">
        <v>15</v>
      </c>
    </row>
    <row r="42" spans="1:3">
      <c r="A42">
        <v>16</v>
      </c>
    </row>
    <row r="43" spans="1:3">
      <c r="A43">
        <v>17</v>
      </c>
    </row>
    <row r="44" spans="1:3">
      <c r="B44" t="s">
        <v>117</v>
      </c>
      <c r="C44" t="s">
        <v>117</v>
      </c>
    </row>
    <row r="45" spans="1:3">
      <c r="A45"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Collu, Simone (GE Power)</dc:creator>
  <cp:keywords/>
  <dc:description/>
  <cp:lastModifiedBy>Jen Wright</cp:lastModifiedBy>
  <cp:revision/>
  <dcterms:created xsi:type="dcterms:W3CDTF">2019-07-14T14:23:57Z</dcterms:created>
  <dcterms:modified xsi:type="dcterms:W3CDTF">2026-05-20T14:27:42Z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