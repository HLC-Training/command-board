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605014645\Box\OFS Global Technical Training @OFFICIAL NEW\Leadership Team\Bowler\"/>
    </mc:Choice>
  </mc:AlternateContent>
  <xr:revisionPtr revIDLastSave="0" documentId="13_ncr:1_{4EA08E1B-1833-4B3C-AF63-A51A4D45C3E9}" xr6:coauthVersionLast="47" xr6:coauthVersionMax="47" xr10:uidLastSave="{00000000-0000-0000-0000-000000000000}"/>
  <bookViews>
    <workbookView xWindow="-28920" yWindow="-120" windowWidth="29040" windowHeight="16440" tabRatio="601" xr2:uid="{8476BB21-6D10-4BB9-B6CE-FEFD481D0662}"/>
  </bookViews>
  <sheets>
    <sheet name="Bowler L1 Training" sheetId="16" r:id="rId1"/>
    <sheet name="Future ideas" sheetId="20" r:id="rId2"/>
    <sheet name="Sheet2" sheetId="17" state="hidden"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66" i="16" l="1"/>
  <c r="G28" i="16" l="1"/>
  <c r="G61" i="16"/>
  <c r="T63" i="16"/>
  <c r="P66" i="16" l="1"/>
  <c r="P63" i="16" l="1"/>
  <c r="P30" i="16"/>
  <c r="X69" i="16"/>
  <c r="T69" i="16"/>
  <c r="G67" i="16" s="1"/>
  <c r="P69" i="16"/>
  <c r="X66" i="16"/>
  <c r="G64" i="16"/>
  <c r="X27" i="16"/>
  <c r="T27" i="16"/>
  <c r="G25" i="16" s="1"/>
  <c r="P27" i="16"/>
  <c r="X30" i="16"/>
  <c r="T30" i="16"/>
  <c r="X24" i="16"/>
  <c r="T24" i="16"/>
  <c r="G22" i="16" s="1"/>
  <c r="P24" i="16"/>
  <c r="L30" i="16"/>
  <c r="L27" i="16"/>
  <c r="L69" i="16"/>
  <c r="L66" i="16"/>
  <c r="X65" i="16"/>
  <c r="T65" i="16"/>
  <c r="P65" i="16"/>
  <c r="L65" i="16"/>
  <c r="L63" i="16" l="1"/>
  <c r="F61" i="16"/>
  <c r="P61" i="16"/>
  <c r="X63" i="16"/>
  <c r="X57" i="16"/>
  <c r="G55" i="16" s="1"/>
  <c r="X12" i="16"/>
  <c r="X11" i="16"/>
  <c r="X10" i="16"/>
  <c r="E10" i="16" s="1"/>
  <c r="T11" i="16"/>
  <c r="T12" i="16"/>
  <c r="P11" i="16"/>
  <c r="P12" i="16"/>
  <c r="L11" i="16"/>
  <c r="F10" i="16" s="1"/>
  <c r="L12" i="16"/>
  <c r="G10" i="16" s="1"/>
  <c r="X5" i="16"/>
  <c r="X6" i="16"/>
  <c r="T5" i="16"/>
  <c r="T6" i="16"/>
  <c r="P5" i="16"/>
  <c r="P6" i="16"/>
  <c r="L5" i="16"/>
  <c r="L6" i="16"/>
  <c r="G4" i="16"/>
  <c r="X4" i="16"/>
  <c r="T4" i="16"/>
  <c r="P4" i="16"/>
  <c r="L4" i="16"/>
  <c r="E4" i="16" s="1"/>
  <c r="X67" i="16"/>
  <c r="T67" i="16"/>
  <c r="P67" i="16"/>
  <c r="L67" i="16"/>
  <c r="E67" i="16" s="1"/>
  <c r="E55" i="16"/>
  <c r="X64" i="16"/>
  <c r="T64" i="16"/>
  <c r="P64" i="16"/>
  <c r="L64" i="16"/>
  <c r="T61" i="16"/>
  <c r="L61" i="16"/>
  <c r="E64" i="16" l="1"/>
  <c r="E61" i="16"/>
  <c r="X68" i="16"/>
  <c r="T68" i="16"/>
  <c r="P68" i="16"/>
  <c r="L68" i="16" l="1"/>
  <c r="F67" i="16" s="1"/>
  <c r="T10" i="16"/>
  <c r="P10" i="16"/>
  <c r="L10" i="16"/>
  <c r="F64" i="16"/>
  <c r="N95" i="16" l="1"/>
  <c r="N94"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tc={06BE996C-F791-4A9F-AA6D-EE2A8EE2F4C3}</author>
    <author>Jen Wright</author>
    <author>tc={17407CA0-19D6-410B-BD94-9BBC65BFCC7C}</author>
    <author>tc={37C346EB-164E-421B-B3A5-A71619208C83}</author>
    <author>tc={160740E7-DFEB-4450-B5C5-A17286B215D6}</author>
    <author>Philip Ganssmann</author>
    <author>tc={1AF062B2-D337-4E87-B548-0EB2DB830EEC}</author>
    <author>tc={50577B9E-D913-49BB-B91E-A5BD3E934319}</author>
    <author>tc={4A61949D-D058-4614-9CBE-136784BCC6E7}</author>
    <author>tc={40736F15-DF93-4810-BC49-A79E1FB56ED1}</author>
    <author>tc={F644D89E-1836-4B19-B5E0-2664B9B5862D}</author>
    <author>tc={249040F4-BD6C-4879-B42F-2781C2CB4456}</author>
  </authors>
  <commentList>
    <comment ref="Q6" authorId="0" shapeId="0" xr:uid="{06BE996C-F791-4A9F-AA6D-EE2A8EE2F4C3}">
      <text>
        <t>[Threaded comment]
Your version of Excel allows you to read this threaded comment; however, any edits to it will get removed if the file is opened in a newer version of Excel. Learn more: https://go.microsoft.com/fwlink/?linkid=870924
Comment:
    BLC: Lost Time Injury - Fall Event 7/21/2026. Recordable 
Reply:
    PSE Near Miss: HLC 7HA.03 Project Post Lift Operation Failure</t>
      </text>
    </comment>
    <comment ref="F7" authorId="1" shapeId="0" xr:uid="{6BB47BF6-B4F0-44A1-B661-DC1F618CF875}">
      <text>
        <r>
          <rPr>
            <sz val="11"/>
            <color theme="1"/>
            <rFont val="Calibri"/>
            <family val="2"/>
            <scheme val="minor"/>
          </rPr>
          <t>Jen Wright:
.56 is 2025 OFS global rate
Target is for training to be 25% better than global OFS target</t>
        </r>
      </text>
    </comment>
    <comment ref="Q9" authorId="2" shapeId="0" xr:uid="{17407CA0-19D6-410B-BD94-9BBC65BFCC7C}">
      <text>
        <t>[Threaded comment]
Your version of Excel allows you to read this threaded comment; however, any edits to it will get removed if the file is opened in a newer version of Excel. Learn more: https://go.microsoft.com/fwlink/?linkid=870924
Comment:
    1 X 200000/183589.43=1.089
Reply:
    I&amp;I FW 33 1.089</t>
      </text>
    </comment>
    <comment ref="R9" authorId="3" shapeId="0" xr:uid="{37C346EB-164E-421B-B3A5-A71619208C83}">
      <text>
        <t>[Threaded comment]
Your version of Excel allows you to read this threaded comment; however, any edits to it will get removed if the file is opened in a newer version of Excel. Learn more: https://go.microsoft.com/fwlink/?linkid=870924
Comment:
    estimated I&amp;I rate for now. Rate will change by next week</t>
      </text>
    </comment>
    <comment ref="F13" authorId="4" shapeId="0" xr:uid="{160740E7-DFEB-4450-B5C5-A17286B215D6}">
      <text>
        <t>[Threaded comment]
Your version of Excel allows you to read this threaded comment; however, any edits to it will get removed if the file is opened in a newer version of Excel. Learn more: https://go.microsoft.com/fwlink/?linkid=870924
Comment:
    90% RA ATS closure rate all sites by YE</t>
      </text>
    </comment>
    <comment ref="I24" authorId="5" shapeId="0" xr:uid="{295EE1B2-A25B-412E-A639-7B1259576743}">
      <text>
        <r>
          <rPr>
            <sz val="11"/>
            <color theme="1"/>
            <rFont val="Calibri"/>
            <family val="2"/>
            <scheme val="minor"/>
          </rPr>
          <t>Philip Ganssmann:
2 transfered by Instructor (Carla)</t>
        </r>
      </text>
    </comment>
    <comment ref="J24" authorId="5" shapeId="0" xr:uid="{DC09360C-6AE1-46FC-ABAD-4D81C3945042}">
      <text>
        <r>
          <rPr>
            <sz val="11"/>
            <color theme="1"/>
            <rFont val="Calibri"/>
            <family val="2"/>
            <scheme val="minor"/>
          </rPr>
          <t>Philip Ganssmann:
I-CON13401 - Entry Level Gas Turbine Mark Vle - Final Exam A
I-CON13401 - Entry Level Gas Turbine Mark Vle - Final Exam B
I-CON23401 - Foundation Field Bus Advanced Training - Exam
I-CON31301 - DLN Tuning - Exam
I-CON33401 - Control System - Mark VIe - Exam</t>
        </r>
      </text>
    </comment>
    <comment ref="K24" authorId="5" shapeId="0" xr:uid="{64E9CAD9-580E-40D0-B2F1-25AC4998B65A}">
      <text>
        <r>
          <rPr>
            <sz val="11"/>
            <color theme="1"/>
            <rFont val="Calibri"/>
            <family val="2"/>
            <scheme val="minor"/>
          </rPr>
          <t>Philip Ganssmann:
I-CON13041 - Basic Electrical Theory - Knowledge Check
I-CON33403 - Advanced DLN Tuning - Exam
I-CON33404 - Control System - MKVIe ICS/DCS Commissioning Engineer Level II - Exam</t>
        </r>
      </text>
    </comment>
    <comment ref="N24" authorId="5" shapeId="0" xr:uid="{7B5163D0-287F-484F-B9B7-4BE35DBAC943}">
      <text>
        <r>
          <rPr>
            <sz val="11"/>
            <color theme="1"/>
            <rFont val="Calibri"/>
            <family val="2"/>
            <scheme val="minor"/>
          </rPr>
          <t>Philip Ganssmann:
I-CON13041 - Basic Electrical Theory - Knowledge Check
I-CON33403 - Advanced DLN Tuning - Exam
I-CON33404 - Control System - MKVIe ICS/DCS Commissioning Engineer Level II - Exam</t>
        </r>
      </text>
    </comment>
    <comment ref="I27" authorId="5" shapeId="0" xr:uid="{90DAD1A6-212D-45E4-8528-2D901E1C0C5A}">
      <text>
        <r>
          <rPr>
            <sz val="11"/>
            <color theme="1"/>
            <rFont val="Calibri"/>
            <family val="2"/>
            <scheme val="minor"/>
          </rPr>
          <t>Philip Ganssmann:
9 transferred - but not sent to review to PLL</t>
        </r>
      </text>
    </comment>
    <comment ref="J27" authorId="5" shapeId="0" xr:uid="{7392AAE5-E54D-4232-B7DC-129B156C6F62}">
      <text>
        <r>
          <rPr>
            <sz val="11"/>
            <color theme="1"/>
            <rFont val="Calibri"/>
            <family val="2"/>
            <scheme val="minor"/>
          </rPr>
          <t>Philip Ganssmann:
I-AER30306 Gas Turbine - LM6000 Borescope Inspection (Internal)
(Customer)
O-AER10102 - Gas Turbine - LM2500 Borescope Inspection
O-AER10105   Gas Turbine - LM2500 Engine Familiarization
O-AER10201   Gas Turbine - LM2500+ Borescope Inspection
O-AER10203   Gas Turbine - LM2500+ G4 Engine Familiarization
O-AER10204   Gas Turbine - LM2500+ Level 1 Maintenance
O-AER10303   Gas Turbine - LM6000 Level 1 Maintenance
O-AER10304   Gas Turbine - LM6000 Level 2 Cold Maintenance
O-AER10305   Gas Turbine - LM6000 Level 2 Hot Maintenance
O-AER10306   Gas Turbine - LM6000 Engine Familiarization
O-AER10402   Gas Turbine - LMS100 Level 1 Maintenance
O-AER10405   Gas Turbine - LMS100 Engine Familiarization</t>
        </r>
      </text>
    </comment>
    <comment ref="K27" authorId="5" shapeId="0" xr:uid="{76FCDDC0-41DD-4A57-9E0C-979F0DC1595C}">
      <text>
        <r>
          <rPr>
            <sz val="11"/>
            <color theme="1"/>
            <rFont val="Calibri"/>
            <family val="2"/>
            <scheme val="minor"/>
          </rPr>
          <t>Philip Ganssmann:
I-AER30306 Gas Turbine - LM6000 Borescope Inspection (Internal)
(Customer)
O-AER10102 - Gas Turbine - LM2500 Borescope Inspection
O-AER10105   Gas Turbine - LM2500 Engine Familiarization
O-AER10201   Gas Turbine - LM2500+ Borescope Inspection
O-AER10203   Gas Turbine - LM2500+ G4 Engine Familiarization
O-AER10204   Gas Turbine - LM2500+ Level 1 Maintenance
O-AER10303   Gas Turbine - LM6000 Level 1 Maintenance
O-AER10304   Gas Turbine - LM6000 Level 2 Cold Maintenance
O-AER10305   Gas Turbine - LM6000 Level 2 Hot Maintenance
O-AER10306   Gas Turbine - LM6000 Engine Familiarization
O-AER10402   Gas Turbine - LMS100 Level 1 Maintenance
O-AER10405   Gas Turbine - LMS100 Engine Familiarization</t>
        </r>
      </text>
    </comment>
    <comment ref="L27" authorId="5" shapeId="0" xr:uid="{C1388240-DDDB-4DD1-B7FE-11B7EF9BDF13}">
      <text>
        <r>
          <rPr>
            <sz val="11"/>
            <color theme="1"/>
            <rFont val="Calibri"/>
            <family val="2"/>
            <scheme val="minor"/>
          </rPr>
          <t>Philip Ganssmann:
I-AER30306 Gas Turbine - LM6000 Borescope Inspection (Internal)
(Customer)
O-AER10102 - Gas Turbine - LM2500 Borescope Inspection
O-AER10105   Gas Turbine - LM2500 Engine Familiarization
O-AER10201   Gas Turbine - LM2500+ Borescope Inspection
O-AER10203   Gas Turbine - LM2500+ G4 Engine Familiarization
O-AER10204   Gas Turbine - LM2500+ Level 1 Maintenance
O-AER10303   Gas Turbine - LM6000 Level 1 Maintenance
O-AER10304   Gas Turbine - LM6000 Level 2 Cold Maintenance
O-AER10305   Gas Turbine - LM6000 Level 2 Hot Maintenance
O-AER10306   Gas Turbine - LM6000 Engine Familiarization
O-AER10402   Gas Turbine - LMS100 Level 1 Maintenance
O-AER10405   Gas Turbine - LMS100 Engine Familiarization</t>
        </r>
      </text>
    </comment>
    <comment ref="C28" authorId="1" shapeId="0" xr:uid="{62BE848F-A00E-4544-8BD6-953D94ED5EF8}">
      <text>
        <r>
          <rPr>
            <sz val="11"/>
            <color theme="1"/>
            <rFont val="Calibri"/>
            <family val="2"/>
            <scheme val="minor"/>
          </rPr>
          <t>Jen Wright:
from: https://gevernova.ent.box.com/file/2108317298247</t>
        </r>
      </text>
    </comment>
    <comment ref="S33" authorId="6" shapeId="0" xr:uid="{1AF062B2-D337-4E87-B548-0EB2DB830EEC}">
      <text>
        <t>[Threaded comment]
Your version of Excel allows you to read this threaded comment; however, any edits to it will get removed if the file is opened in a newer version of Excel. Learn more: https://go.microsoft.com/fwlink/?linkid=870924
Comment:
    ELT ST 26-1</t>
      </text>
    </comment>
    <comment ref="C34" authorId="1" shapeId="0" xr:uid="{508037C5-7575-470A-939A-71BD192D06EF}">
      <text>
        <r>
          <rPr>
            <sz val="11"/>
            <color theme="1"/>
            <rFont val="Calibri"/>
            <family val="2"/>
            <scheme val="minor"/>
          </rPr>
          <t>Jen Wright:
% of All field employees, Primary roles only, excluding new hires (Level I employees), who are &gt;70% complete in their roles.</t>
        </r>
      </text>
    </comment>
    <comment ref="C37" authorId="1" shapeId="0" xr:uid="{04C7CFAE-132D-4578-AA1A-A2AED2C7F976}">
      <text>
        <r>
          <rPr>
            <sz val="11"/>
            <color theme="1"/>
            <rFont val="Calibri"/>
            <family val="2"/>
            <scheme val="minor"/>
          </rPr>
          <t>Jen Wright:
Measured via FEP Dev Plan 60 Days before ELT End Smartsheet Report (https://app.smartsheet.com/reports/mgmjmH9c7FX3mP7FpxWm92H4xjPg3P7v32RRx461)</t>
        </r>
      </text>
    </comment>
    <comment ref="C40" authorId="1" shapeId="0" xr:uid="{81A96FEF-57F4-4F62-899B-7DDE3044B820}">
      <text>
        <r>
          <rPr>
            <sz val="11"/>
            <color theme="1"/>
            <rFont val="Calibri"/>
            <family val="2"/>
            <scheme val="minor"/>
          </rPr>
          <t>Jen Wright:
Measured via ELT Pre-Course OJT Completion Smartsheet Report (https://app.smartsheet.com/reports/CMvRgCHjGXrVPX8vQj6g6CC7GM3XchwHHfRMRH61?view=grid)</t>
        </r>
      </text>
    </comment>
    <comment ref="I42" authorId="1" shapeId="0" xr:uid="{A05FB433-A643-4D7C-BFF5-71BFC3E8211F}">
      <text>
        <r>
          <rPr>
            <sz val="11"/>
            <color theme="1"/>
            <rFont val="Calibri"/>
            <family val="2"/>
            <scheme val="minor"/>
          </rPr>
          <t>Jen Wright:
No courses started this month</t>
        </r>
      </text>
    </comment>
    <comment ref="J42" authorId="1" shapeId="0" xr:uid="{DF2937F5-01F3-48AD-A59A-11E56D5B996A}">
      <text>
        <r>
          <rPr>
            <sz val="11"/>
            <color theme="1"/>
            <rFont val="Calibri"/>
            <family val="2"/>
            <scheme val="minor"/>
          </rPr>
          <t>Jen Wright:
No courses started this month</t>
        </r>
      </text>
    </comment>
    <comment ref="N42" authorId="1" shapeId="0" xr:uid="{3EABDB6C-68E3-45A8-AD72-EE07047A2ABF}">
      <text>
        <r>
          <rPr>
            <sz val="11"/>
            <color theme="1"/>
            <rFont val="Calibri"/>
            <family val="2"/>
            <scheme val="minor"/>
          </rPr>
          <t>Jen Wright:
No courses started this month</t>
        </r>
      </text>
    </comment>
    <comment ref="O42" authorId="7" shapeId="0" xr:uid="{50577B9E-D913-49BB-B91E-A5BD3E934319}">
      <text>
        <t>[Threaded comment]
Your version of Excel allows you to read this threaded comment; however, any edits to it will get removed if the file is opened in a newer version of Excel. Learn more: https://go.microsoft.com/fwlink/?linkid=870924
Comment:
    Pre-arranged with Lead Instructor, the whole GT Mechanical class won't have Pre-OJT</t>
      </text>
    </comment>
    <comment ref="C43" authorId="1" shapeId="0" xr:uid="{10FC5647-E364-4FB4-A6F5-83AB4EF2B64E}">
      <text>
        <r>
          <rPr>
            <sz val="11"/>
            <color theme="1"/>
            <rFont val="Calibri"/>
            <family val="2"/>
            <scheme val="minor"/>
          </rPr>
          <t>Jen Wright:
ELT (FE &amp; Craft) = included via Smartsheet Report
Generator Repairs ELT = pending report extract access from GEV Learning team</t>
        </r>
      </text>
    </comment>
    <comment ref="I45" authorId="1" shapeId="0" xr:uid="{92CB74F4-09AD-4D90-AC85-52E750F91E14}">
      <text>
        <r>
          <rPr>
            <sz val="11"/>
            <color theme="1"/>
            <rFont val="Calibri"/>
            <family val="2"/>
            <scheme val="minor"/>
          </rPr>
          <t>Jen Wright:
No courses started this month</t>
        </r>
      </text>
    </comment>
    <comment ref="J45" authorId="1" shapeId="0" xr:uid="{2FC2FC6F-F183-4A7F-9DBC-D4CAC96D4C64}">
      <text>
        <r>
          <rPr>
            <sz val="11"/>
            <color theme="1"/>
            <rFont val="Calibri"/>
            <family val="2"/>
            <scheme val="minor"/>
          </rPr>
          <t>Jen Wright:
No courses started this month</t>
        </r>
      </text>
    </comment>
    <comment ref="N45" authorId="1" shapeId="0" xr:uid="{48B8B58B-338A-4616-B616-2225EFDD218F}">
      <text>
        <r>
          <rPr>
            <sz val="11"/>
            <color theme="1"/>
            <rFont val="Calibri"/>
            <family val="2"/>
            <scheme val="minor"/>
          </rPr>
          <t>Jen Wright:
No courses started this month</t>
        </r>
      </text>
    </comment>
    <comment ref="F49" authorId="1" shapeId="0" xr:uid="{E891B715-76B2-41B3-BDA8-A3700F9F11CE}">
      <text>
        <r>
          <rPr>
            <sz val="11"/>
            <color theme="1"/>
            <rFont val="Calibri"/>
            <family val="2"/>
            <scheme val="minor"/>
          </rPr>
          <t xml:space="preserve">Jen Wright:
% of timecards approved within 12 days of the date worked
Rolling 12-week measurement </t>
        </r>
      </text>
    </comment>
    <comment ref="K51" authorId="8" shapeId="0" xr:uid="{4A61949D-D058-4614-9CBE-136784BCC6E7}">
      <text>
        <t>[Threaded comment]
Your version of Excel allows you to read this threaded comment; however, any edits to it will get removed if the file is opened in a newer version of Excel. Learn more: https://go.microsoft.com/fwlink/?linkid=870924
Comment:
    March on-time submission is 58% based on a 12-week rolling window (Jan–Mar), compared to 83% in January and 60% in February (4-week view). The lower result is driven by the expanded reporting window and increased visibility from the new exception tracking process implemented mid-March.
Initial tracking shows the majority of late submissions were due to system and access issues, with limited cases of true instructor late entries. Multiple MyTech/FieldTime issues impacted instructors, with additional likely unreported impacts across the Gas Power population.
As tracking stabilizes and system issues are resolved, the data will more accurately reflect true performance and is expected to improve.</t>
      </text>
    </comment>
    <comment ref="M51" authorId="9" shapeId="0" xr:uid="{40736F15-DF93-4810-BC49-A79E1FB56ED1}">
      <text>
        <t>[Threaded comment]
Your version of Excel allows you to read this threaded comment; however, any edits to it will get removed if the file is opened in a newer version of Excel. Learn more: https://go.microsoft.com/fwlink/?linkid=870924
Comment:
    https://gevernova.box.com/s/17o8hpcpubfb6lm82c157gdcde9kcful</t>
      </text>
    </comment>
    <comment ref="Q51" authorId="10" shapeId="0" xr:uid="{F644D89E-1836-4B19-B5E0-2664B9B5862D}">
      <text>
        <t>[Threaded comment]
Your version of Excel allows you to read this threaded comment; however, any edits to it will get removed if the file is opened in a newer version of Excel. Learn more: https://go.microsoft.com/fwlink/?linkid=870924
Comment:
    Ben Smith access issues</t>
      </text>
    </comment>
    <comment ref="T51" authorId="11" shapeId="0" xr:uid="{249040F4-BD6C-4879-B42F-2781C2CB4456}">
      <text>
        <t>[Threaded comment]
Your version of Excel allows you to read this threaded comment; however, any edits to it will get removed if the file is opened in a newer version of Excel. Learn more: https://go.microsoft.com/fwlink/?linkid=870924
Comment:
    https://gevernova.box.com/s/zfcjhwxq8my71tmkvyva54f2s0airatl</t>
      </text>
    </comment>
    <comment ref="C52" authorId="1" shapeId="0" xr:uid="{1D261BA2-8304-49D6-B2B0-DECA97456338}">
      <text>
        <r>
          <rPr>
            <sz val="11"/>
            <color theme="1"/>
            <rFont val="Calibri"/>
            <family val="2"/>
            <scheme val="minor"/>
          </rPr>
          <t>Jen Wright:
# of qualified instructors above 75% for all of the past 3 months / avg total # of qualified instructors over the past 3 months</t>
        </r>
      </text>
    </comment>
    <comment ref="F55" authorId="1" shapeId="0" xr:uid="{B3DF712E-230B-4ACC-BC0C-C0EA167A269C}">
      <text>
        <r>
          <rPr>
            <sz val="11"/>
            <color theme="1"/>
            <rFont val="Calibri"/>
            <family val="2"/>
            <scheme val="minor"/>
          </rPr>
          <t>Jen Wright:
Tracking cumulatively across the year.
Monthly number is the count count of Borrowed Instructors added that month, Quarterly values are the cumulative total of BIs now Qualified for "Instructor" role in Kahuna</t>
        </r>
      </text>
    </comment>
    <comment ref="C58" authorId="1" shapeId="0" xr:uid="{7B8C1B4B-4177-49F0-93C5-A2E4F5B08047}">
      <text>
        <r>
          <rPr>
            <sz val="11"/>
            <color theme="1"/>
            <rFont val="Calibri"/>
            <family val="2"/>
            <scheme val="minor"/>
          </rPr>
          <t>Jen Wright:
Actual FTE staff headcount number for Gas Power &amp; FieldCore combined</t>
        </r>
      </text>
    </comment>
    <comment ref="F58" authorId="1" shapeId="0" xr:uid="{DA09F69C-4C8F-41ED-BFBE-4EBADB371BF8}">
      <text>
        <r>
          <rPr>
            <sz val="11"/>
            <color theme="1"/>
            <rFont val="Calibri"/>
            <family val="2"/>
            <scheme val="minor"/>
          </rPr>
          <t>Jen Wright:
Target is to stay below this number
Does not include FC Instructors or FEPs</t>
        </r>
      </text>
    </comment>
  </commentList>
</comments>
</file>

<file path=xl/sharedStrings.xml><?xml version="1.0" encoding="utf-8"?>
<sst xmlns="http://schemas.openxmlformats.org/spreadsheetml/2006/main" count="386" uniqueCount="116">
  <si>
    <t>Level 2</t>
  </si>
  <si>
    <t>Priorities</t>
  </si>
  <si>
    <t xml:space="preserve">KPI </t>
  </si>
  <si>
    <t>Owner</t>
  </si>
  <si>
    <t>PY Actual</t>
  </si>
  <si>
    <t>2026 Plan</t>
  </si>
  <si>
    <t>YTD
Actual</t>
  </si>
  <si>
    <t>JAN</t>
  </si>
  <si>
    <t>FEB</t>
  </si>
  <si>
    <t>MAR</t>
  </si>
  <si>
    <t>1Q</t>
  </si>
  <si>
    <t>APR</t>
  </si>
  <si>
    <t>MAY</t>
  </si>
  <si>
    <t>JUN</t>
  </si>
  <si>
    <t>2Q</t>
  </si>
  <si>
    <t>JUL</t>
  </si>
  <si>
    <t>AUG</t>
  </si>
  <si>
    <t>SEP</t>
  </si>
  <si>
    <t>3Q</t>
  </si>
  <si>
    <t>OCT</t>
  </si>
  <si>
    <t>NOV</t>
  </si>
  <si>
    <t>DEC</t>
  </si>
  <si>
    <t>4Q</t>
  </si>
  <si>
    <t>Safety</t>
  </si>
  <si>
    <t>I&amp;I</t>
  </si>
  <si>
    <t>Arnold</t>
  </si>
  <si>
    <t>PY</t>
  </si>
  <si>
    <t>Plan</t>
  </si>
  <si>
    <t>Act</t>
  </si>
  <si>
    <t>I&amp;I Rate</t>
  </si>
  <si>
    <t>Severe Incidents (A+B)</t>
  </si>
  <si>
    <t>Read Across Closing Rate/ATS in 30 days by YE</t>
  </si>
  <si>
    <t>NA</t>
  </si>
  <si>
    <t>90%%</t>
  </si>
  <si>
    <t>Live Save Rule Compliance %</t>
  </si>
  <si>
    <t>n/a</t>
  </si>
  <si>
    <t>Not tracked in 2025</t>
  </si>
  <si>
    <t>Quality</t>
  </si>
  <si>
    <t>Customer Training NPS</t>
  </si>
  <si>
    <t>Daxer</t>
  </si>
  <si>
    <t># Exams Migrated to Xyleme</t>
  </si>
  <si>
    <t>Ganssmann</t>
  </si>
  <si>
    <t># Courses Migrated to Xyleme</t>
  </si>
  <si>
    <t>Philip to determine target</t>
  </si>
  <si>
    <t>Avg HLC 5S Audit Scores</t>
  </si>
  <si>
    <t>Target TBD - pending a few months of data</t>
  </si>
  <si>
    <r>
      <t xml:space="preserve">Internal Trng Post-Training Skill Improvement 
</t>
    </r>
    <r>
      <rPr>
        <i/>
        <sz val="12"/>
        <color theme="1"/>
        <rFont val="Calibri"/>
        <family val="2"/>
      </rPr>
      <t>(i.e. final assessment scores)</t>
    </r>
  </si>
  <si>
    <t>Rosen</t>
  </si>
  <si>
    <t>Plan to switch to using Xyleme data once all ELT exams are in Xyleme</t>
  </si>
  <si>
    <t>N/A</t>
  </si>
  <si>
    <t>Delivery</t>
  </si>
  <si>
    <t>Kahuna Workforce Compliance Rate (Primary Roles)</t>
  </si>
  <si>
    <t>Alcantar / Monzo</t>
  </si>
  <si>
    <t>FEP Development plan prepared 60 days before training end</t>
  </si>
  <si>
    <t>Monzo</t>
  </si>
  <si>
    <t>ELT Pre-course OJT Completion Rate</t>
  </si>
  <si>
    <t>Pre-course Online EHS Pre-req Completion Rate</t>
  </si>
  <si>
    <t>FE &amp; Craft ELT included, pending Generator Repairs</t>
  </si>
  <si>
    <t>FEP Cycle Time</t>
  </si>
  <si>
    <t>Leo to determine new target based on role-specific targets &amp; qties</t>
  </si>
  <si>
    <t>Timecard OTD</t>
  </si>
  <si>
    <t>*58%</t>
  </si>
  <si>
    <t>Fully Loaded and Qualified Instructors</t>
  </si>
  <si>
    <t>&lt;15%</t>
  </si>
  <si>
    <t>Need to build report for this</t>
  </si>
  <si>
    <t>TBD</t>
  </si>
  <si>
    <t>*21.1%</t>
  </si>
  <si>
    <t># Borrowed Instructors in Pool (Qualified for Instructor Role in Kahuna)</t>
  </si>
  <si>
    <t>Alcantar</t>
  </si>
  <si>
    <t>Cost</t>
  </si>
  <si>
    <t>Headcount (FPC)</t>
  </si>
  <si>
    <t>Gomez</t>
  </si>
  <si>
    <t>Remove this - shoud we track something else instead?</t>
  </si>
  <si>
    <t>Targets need to be confirmed by Leadership</t>
  </si>
  <si>
    <t>Financials</t>
  </si>
  <si>
    <t>Customer Training Sales</t>
  </si>
  <si>
    <t>Trending low due to Iran crisis</t>
  </si>
  <si>
    <t>GP TrainingOrg Gross Margin</t>
  </si>
  <si>
    <t>Sureshbabu</t>
  </si>
  <si>
    <t>FC Training Org Gross Margin</t>
  </si>
  <si>
    <t>Future Ideas</t>
  </si>
  <si>
    <t>Comment</t>
  </si>
  <si>
    <t>Performance/Behavior improvement after training (i.e. field peformance survey results)</t>
  </si>
  <si>
    <t>Pending completion of AP-0469-2</t>
  </si>
  <si>
    <t>Class readiness 2 weeks before class start (tooling, Instructor, Students etc)</t>
  </si>
  <si>
    <t>not an issue now that short term cancellations are down</t>
  </si>
  <si>
    <t>ROI - cost of training vs. value returned to the business</t>
  </si>
  <si>
    <t xml:space="preserve"> - how to get data for value returned to the business?
Not for Bowler - more for our CapEx justifications</t>
  </si>
  <si>
    <t>Development/OJT plan prepared before training start</t>
  </si>
  <si>
    <t>Jen &amp; Leo to determine how to measure this.</t>
  </si>
  <si>
    <t>Number of non-BI-pool instructors used?</t>
  </si>
  <si>
    <t>Consider adding once we have a strong enough pool</t>
  </si>
  <si>
    <t># of Exams Migrated to Xyleme</t>
  </si>
  <si>
    <t># of Modules Migrated to Xyleme</t>
  </si>
  <si>
    <t># or % of enrollments &lt;2 weeks before class starts</t>
  </si>
  <si>
    <t>Consider adding in 2026 if we don't see 2025 improvement as result of TDM leader standard work improvements
2024 = 510 total, 16% of enrollments
2025 = 905 total, 29% of enrollments
not an issue now that fulfillment rate is improved</t>
  </si>
  <si>
    <t># of FEPs hired less than 2months before class starts</t>
  </si>
  <si>
    <t>143 FEPs (36 FEPs were hired less than 1 month); average delta time between hiring and class start ~49 days
Not as much of a focus due to variations in regional/skill needs.</t>
  </si>
  <si>
    <t>Pre-course OJT completion rate</t>
  </si>
  <si>
    <t>Pre-course online pre-req completion rate</t>
  </si>
  <si>
    <t>5S something</t>
  </si>
  <si>
    <t>2027 - utilitization of Xyleme modules</t>
  </si>
  <si>
    <t xml:space="preserve">Kaizen </t>
  </si>
  <si>
    <t>Learning Track</t>
  </si>
  <si>
    <t>Gas</t>
  </si>
  <si>
    <t>Competency</t>
  </si>
  <si>
    <t>Content</t>
  </si>
  <si>
    <t>Ability to deliver</t>
  </si>
  <si>
    <t>Pipe Fitting</t>
  </si>
  <si>
    <t>1a</t>
  </si>
  <si>
    <t>Connectors</t>
  </si>
  <si>
    <t>1b</t>
  </si>
  <si>
    <t>Flow</t>
  </si>
  <si>
    <t>1c</t>
  </si>
  <si>
    <t>Pipe types</t>
  </si>
  <si>
    <t>Assesment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</si>
</sst>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quot;$&quot;#,##0.0"/>
    <numFmt numFmtId="165" formatCode="_(* #,##0.0_);_(* \(#,##0.0\);_(* &quot;-&quot;??_);_(@_)"/>
    <numFmt numFmtId="166" formatCode="0.0"/>
    <numFmt numFmtId="167" formatCode="&quot;$&quot;#,##0.0_);\(&quot;$&quot;#,##0.0\)"/>
    <numFmt numFmtId="168" formatCode="_(* #,##0.0_);_(* \(#,##0.0\);_(* &quot;-&quot;?_);_(@_)"/>
    <numFmt numFmtId="169" formatCode="#,##0.0_);\(#,##0.0\)"/>
  </numFmts>
  <fonts count="31" x14ac:knownFonts="1">
    <font>
      <sz val="11"/>
      <color theme="1"/>
      <name val="Calibri"/>
      <family val="2"/>
      <scheme val="minor"/>
    </font>
    <font>
      <sz val="11"/>
      <color theme="1"/>
      <name val="Calibri"/>
      <family val="2"/>
      <scheme val="minor"/>
    </font>
    <font>
      <b/>
      <sz val="11"/>
      <color theme="1"/>
      <name val="Calibri"/>
      <family val="2"/>
      <scheme val="minor"/>
    </font>
    <font>
      <sz val="12"/>
      <color theme="1"/>
      <name val="Calibri"/>
      <family val="2"/>
    </font>
    <font>
      <b/>
      <sz val="12"/>
      <color theme="1"/>
      <name val="Calibri"/>
      <family val="2"/>
    </font>
    <font>
      <b/>
      <sz val="14"/>
      <color theme="0"/>
      <name val="Calibri"/>
      <family val="2"/>
    </font>
    <font>
      <b/>
      <sz val="12"/>
      <color theme="0"/>
      <name val="Calibri"/>
      <family val="2"/>
    </font>
    <font>
      <sz val="12"/>
      <color theme="0"/>
      <name val="Calibri"/>
      <family val="2"/>
    </font>
    <font>
      <b/>
      <sz val="12"/>
      <name val="Calibri"/>
      <family val="2"/>
    </font>
    <font>
      <sz val="12"/>
      <name val="Calibri"/>
      <family val="2"/>
    </font>
    <font>
      <sz val="12"/>
      <color rgb="FFFF0000"/>
      <name val="Calibri"/>
      <family val="2"/>
    </font>
    <font>
      <sz val="12"/>
      <color rgb="FF000000"/>
      <name val="Calibri"/>
      <family val="2"/>
    </font>
    <font>
      <sz val="12"/>
      <color rgb="FF00B050"/>
      <name val="Calibri"/>
      <family val="2"/>
    </font>
    <font>
      <b/>
      <sz val="12"/>
      <color rgb="FF000000"/>
      <name val="Calibri"/>
      <family val="2"/>
    </font>
    <font>
      <sz val="11"/>
      <color theme="1"/>
      <name val="Calibri"/>
      <family val="2"/>
    </font>
    <font>
      <i/>
      <sz val="12"/>
      <color theme="1"/>
      <name val="Calibri"/>
      <family val="2"/>
    </font>
    <font>
      <b/>
      <sz val="11"/>
      <color theme="1"/>
      <name val="Calibri"/>
      <family val="2"/>
    </font>
    <font>
      <b/>
      <sz val="11"/>
      <color rgb="FF444444"/>
      <name val="Calibri"/>
      <family val="2"/>
    </font>
    <font>
      <strike/>
      <sz val="11"/>
      <color theme="1"/>
      <name val="Calibri"/>
      <family val="2"/>
    </font>
    <font>
      <strike/>
      <sz val="12"/>
      <color theme="1"/>
      <name val="Calibri"/>
      <family val="2"/>
    </font>
    <font>
      <b/>
      <sz val="12"/>
      <name val="Calibri"/>
      <family val="2"/>
    </font>
    <font>
      <sz val="12"/>
      <color rgb="FF00B050"/>
      <name val="Calibri"/>
      <family val="2"/>
    </font>
    <font>
      <sz val="12"/>
      <name val="Calibri"/>
      <family val="2"/>
    </font>
    <font>
      <b/>
      <sz val="12"/>
      <color theme="1"/>
      <name val="Calibri"/>
      <family val="2"/>
    </font>
    <font>
      <sz val="12"/>
      <color theme="1"/>
      <name val="Calibri"/>
      <family val="2"/>
    </font>
    <font>
      <sz val="11"/>
      <color rgb="FF00B050"/>
      <name val="Calibri"/>
      <family val="2"/>
    </font>
    <font>
      <sz val="12"/>
      <color rgb="FF000000"/>
      <name val="Calibri"/>
      <family val="2"/>
    </font>
    <font>
      <sz val="12"/>
      <color theme="0"/>
      <name val="Calibri"/>
      <family val="2"/>
    </font>
    <font>
      <b/>
      <sz val="12"/>
      <color theme="0"/>
      <name val="Calibri"/>
      <family val="2"/>
    </font>
    <font>
      <sz val="12"/>
      <color rgb="FFFF0000"/>
      <name val="Calibri"/>
      <family val="2"/>
    </font>
    <font>
      <b/>
      <sz val="12"/>
      <color rgb="FFFF0000"/>
      <name val="Calibri"/>
      <family val="2"/>
    </font>
  </fonts>
  <fills count="9">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0" tint="-0.499984740745262"/>
        <bgColor indexed="64"/>
      </patternFill>
    </fill>
    <fill>
      <patternFill patternType="solid">
        <fgColor rgb="FFFF0000"/>
        <bgColor indexed="64"/>
      </patternFill>
    </fill>
    <fill>
      <patternFill patternType="solid">
        <fgColor theme="9" tint="0.59999389629810485"/>
        <bgColor indexed="64"/>
      </patternFill>
    </fill>
    <fill>
      <patternFill patternType="solid">
        <fgColor rgb="FFFFFF00"/>
        <bgColor indexed="64"/>
      </patternFill>
    </fill>
    <fill>
      <patternFill patternType="solid">
        <fgColor rgb="FF00B050"/>
        <bgColor indexed="64"/>
      </patternFill>
    </fill>
  </fills>
  <borders count="12">
    <border>
      <left/>
      <right/>
      <top/>
      <bottom/>
      <diagonal/>
    </border>
    <border>
      <left style="thin">
        <color theme="0" tint="-0.499984740745262"/>
      </left>
      <right style="thin">
        <color theme="0" tint="-0.499984740745262"/>
      </right>
      <top style="thin">
        <color theme="0" tint="-0.499984740745262"/>
      </top>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38">
    <xf numFmtId="0" fontId="0" fillId="0" borderId="0" xfId="0"/>
    <xf numFmtId="0" fontId="0" fillId="5" borderId="0" xfId="0" applyFill="1"/>
    <xf numFmtId="0" fontId="0" fillId="6" borderId="0" xfId="0" applyFill="1"/>
    <xf numFmtId="0" fontId="0" fillId="6" borderId="0" xfId="0" applyFill="1" applyAlignment="1">
      <alignment horizontal="left" indent="1"/>
    </xf>
    <xf numFmtId="0" fontId="2" fillId="0" borderId="0" xfId="0" applyFont="1"/>
    <xf numFmtId="0" fontId="3" fillId="2" borderId="0" xfId="0" applyFont="1" applyFill="1"/>
    <xf numFmtId="0" fontId="4" fillId="2" borderId="0" xfId="0" applyFont="1" applyFill="1"/>
    <xf numFmtId="0" fontId="3" fillId="0" borderId="0" xfId="0" applyFont="1"/>
    <xf numFmtId="0" fontId="4" fillId="0" borderId="0" xfId="0" applyFont="1" applyAlignment="1">
      <alignment horizontal="center"/>
    </xf>
    <xf numFmtId="0" fontId="6" fillId="4" borderId="1" xfId="0" applyFont="1" applyFill="1" applyBorder="1" applyAlignment="1">
      <alignment horizontal="center" vertical="center" wrapText="1"/>
    </xf>
    <xf numFmtId="0" fontId="4" fillId="0" borderId="0" xfId="0" applyFont="1"/>
    <xf numFmtId="0" fontId="9" fillId="3" borderId="5" xfId="0" applyFont="1" applyFill="1" applyBorder="1" applyAlignment="1">
      <alignment horizontal="center" vertical="center" wrapText="1"/>
    </xf>
    <xf numFmtId="0" fontId="9" fillId="3" borderId="5" xfId="1" applyNumberFormat="1" applyFont="1" applyFill="1" applyBorder="1" applyAlignment="1">
      <alignment horizontal="center" vertical="center"/>
    </xf>
    <xf numFmtId="37" fontId="8" fillId="3" borderId="5" xfId="1" applyNumberFormat="1" applyFont="1" applyFill="1" applyBorder="1" applyAlignment="1">
      <alignment horizontal="center" vertical="center"/>
    </xf>
    <xf numFmtId="37" fontId="9" fillId="3" borderId="5" xfId="1" applyNumberFormat="1" applyFont="1" applyFill="1" applyBorder="1" applyAlignment="1">
      <alignment horizontal="center" vertical="center"/>
    </xf>
    <xf numFmtId="0" fontId="3" fillId="0" borderId="5" xfId="1" applyNumberFormat="1" applyFont="1" applyFill="1" applyBorder="1" applyAlignment="1">
      <alignment horizontal="center" vertical="center"/>
    </xf>
    <xf numFmtId="37" fontId="4" fillId="0" borderId="5" xfId="1" applyNumberFormat="1" applyFont="1" applyFill="1" applyBorder="1" applyAlignment="1">
      <alignment horizontal="center" vertical="center"/>
    </xf>
    <xf numFmtId="37" fontId="3" fillId="0" borderId="5" xfId="1" applyNumberFormat="1" applyFont="1" applyFill="1" applyBorder="1" applyAlignment="1">
      <alignment horizontal="center" vertical="center"/>
    </xf>
    <xf numFmtId="37" fontId="8" fillId="0" borderId="5" xfId="1" applyNumberFormat="1" applyFont="1" applyFill="1" applyBorder="1" applyAlignment="1">
      <alignment horizontal="center" vertical="center"/>
    </xf>
    <xf numFmtId="0" fontId="3" fillId="3" borderId="5" xfId="1" applyNumberFormat="1" applyFont="1" applyFill="1" applyBorder="1" applyAlignment="1">
      <alignment horizontal="center" vertical="center"/>
    </xf>
    <xf numFmtId="37" fontId="4" fillId="3" borderId="5" xfId="1" applyNumberFormat="1" applyFont="1" applyFill="1" applyBorder="1" applyAlignment="1">
      <alignment horizontal="center" vertical="center"/>
    </xf>
    <xf numFmtId="9" fontId="3" fillId="3" borderId="5" xfId="2" applyFont="1" applyFill="1" applyBorder="1" applyAlignment="1">
      <alignment horizontal="center" vertical="center"/>
    </xf>
    <xf numFmtId="37" fontId="3" fillId="3" borderId="5" xfId="1" applyNumberFormat="1" applyFont="1" applyFill="1" applyBorder="1" applyAlignment="1">
      <alignment horizontal="center" vertical="center"/>
    </xf>
    <xf numFmtId="9" fontId="4" fillId="3" borderId="5" xfId="2" applyFont="1" applyFill="1" applyBorder="1" applyAlignment="1">
      <alignment horizontal="center" vertical="center"/>
    </xf>
    <xf numFmtId="9" fontId="3" fillId="3" borderId="5" xfId="1" applyNumberFormat="1" applyFont="1" applyFill="1" applyBorder="1" applyAlignment="1">
      <alignment horizontal="center" vertical="center"/>
    </xf>
    <xf numFmtId="9" fontId="4" fillId="3" borderId="5" xfId="1" applyNumberFormat="1" applyFont="1" applyFill="1" applyBorder="1" applyAlignment="1">
      <alignment horizontal="center" vertical="center"/>
    </xf>
    <xf numFmtId="9" fontId="3" fillId="0" borderId="5" xfId="1" applyNumberFormat="1" applyFont="1" applyFill="1" applyBorder="1" applyAlignment="1">
      <alignment horizontal="center" vertical="center"/>
    </xf>
    <xf numFmtId="9" fontId="4" fillId="0" borderId="5" xfId="1" applyNumberFormat="1" applyFont="1" applyFill="1" applyBorder="1" applyAlignment="1">
      <alignment horizontal="center" vertical="center"/>
    </xf>
    <xf numFmtId="0" fontId="4" fillId="3" borderId="5" xfId="1" applyNumberFormat="1" applyFont="1" applyFill="1" applyBorder="1" applyAlignment="1">
      <alignment horizontal="center" vertical="center"/>
    </xf>
    <xf numFmtId="0" fontId="7" fillId="4" borderId="1" xfId="0" applyFont="1" applyFill="1" applyBorder="1" applyAlignment="1">
      <alignment horizontal="center" vertical="center" wrapText="1"/>
    </xf>
    <xf numFmtId="0" fontId="3" fillId="0" borderId="0" xfId="0" applyFont="1" applyAlignment="1">
      <alignment vertical="top" wrapText="1"/>
    </xf>
    <xf numFmtId="0" fontId="14" fillId="0" borderId="0" xfId="0" applyFont="1" applyAlignment="1">
      <alignment vertical="top" wrapText="1"/>
    </xf>
    <xf numFmtId="0" fontId="16" fillId="0" borderId="0" xfId="0" applyFont="1" applyAlignment="1">
      <alignment vertical="top" wrapText="1"/>
    </xf>
    <xf numFmtId="0" fontId="4" fillId="0" borderId="5" xfId="1" applyNumberFormat="1" applyFont="1" applyFill="1" applyBorder="1" applyAlignment="1">
      <alignment horizontal="center" vertical="center"/>
    </xf>
    <xf numFmtId="166" fontId="3" fillId="3" borderId="5" xfId="1" applyNumberFormat="1" applyFont="1" applyFill="1" applyBorder="1" applyAlignment="1">
      <alignment horizontal="center" vertical="center"/>
    </xf>
    <xf numFmtId="166" fontId="4" fillId="3" borderId="5" xfId="1" applyNumberFormat="1" applyFont="1" applyFill="1" applyBorder="1" applyAlignment="1">
      <alignment horizontal="center" vertical="center"/>
    </xf>
    <xf numFmtId="166" fontId="7" fillId="8" borderId="5" xfId="1" applyNumberFormat="1" applyFont="1" applyFill="1" applyBorder="1" applyAlignment="1">
      <alignment horizontal="center" vertical="center"/>
    </xf>
    <xf numFmtId="0" fontId="3" fillId="7" borderId="0" xfId="0" applyFont="1" applyFill="1"/>
    <xf numFmtId="9" fontId="3" fillId="0" borderId="5" xfId="2" applyFont="1" applyFill="1" applyBorder="1" applyAlignment="1">
      <alignment horizontal="center" vertical="center"/>
    </xf>
    <xf numFmtId="0" fontId="3" fillId="2" borderId="9" xfId="0" applyFont="1" applyFill="1" applyBorder="1" applyAlignment="1">
      <alignment horizontal="center" vertical="center" wrapText="1"/>
    </xf>
    <xf numFmtId="168" fontId="3" fillId="0" borderId="0" xfId="0" applyNumberFormat="1" applyFont="1"/>
    <xf numFmtId="0" fontId="18" fillId="0" borderId="0" xfId="0" applyFont="1" applyAlignment="1">
      <alignment vertical="top" wrapText="1"/>
    </xf>
    <xf numFmtId="0" fontId="19" fillId="0" borderId="0" xfId="0" applyFont="1" applyAlignment="1">
      <alignment vertical="top" wrapText="1"/>
    </xf>
    <xf numFmtId="37" fontId="20" fillId="3" borderId="5" xfId="1" applyNumberFormat="1" applyFont="1" applyFill="1" applyBorder="1" applyAlignment="1">
      <alignment horizontal="center" vertical="center"/>
    </xf>
    <xf numFmtId="37" fontId="6" fillId="0" borderId="5" xfId="1" applyNumberFormat="1" applyFont="1" applyFill="1" applyBorder="1" applyAlignment="1">
      <alignment horizontal="center" vertical="center"/>
    </xf>
    <xf numFmtId="37" fontId="7" fillId="0" borderId="5" xfId="1" applyNumberFormat="1" applyFont="1" applyFill="1" applyBorder="1" applyAlignment="1">
      <alignment horizontal="center" vertical="center"/>
    </xf>
    <xf numFmtId="9" fontId="4" fillId="0" borderId="5" xfId="2" applyFont="1" applyFill="1" applyBorder="1" applyAlignment="1">
      <alignment horizontal="center" vertical="center"/>
    </xf>
    <xf numFmtId="9" fontId="7" fillId="0" borderId="5" xfId="2" applyFont="1" applyFill="1" applyBorder="1" applyAlignment="1">
      <alignment horizontal="center" vertical="center"/>
    </xf>
    <xf numFmtId="9" fontId="7" fillId="0" borderId="5" xfId="1" applyNumberFormat="1" applyFont="1" applyFill="1" applyBorder="1" applyAlignment="1">
      <alignment horizontal="center" vertical="center"/>
    </xf>
    <xf numFmtId="9" fontId="7" fillId="3" borderId="5" xfId="2" applyFont="1" applyFill="1" applyBorder="1" applyAlignment="1">
      <alignment horizontal="center" vertical="center"/>
    </xf>
    <xf numFmtId="0" fontId="7" fillId="3" borderId="5" xfId="2" applyNumberFormat="1" applyFont="1" applyFill="1" applyBorder="1" applyAlignment="1">
      <alignment horizontal="center" vertical="center"/>
    </xf>
    <xf numFmtId="37" fontId="22" fillId="3" borderId="5" xfId="1" applyNumberFormat="1" applyFont="1" applyFill="1" applyBorder="1" applyAlignment="1">
      <alignment horizontal="center" vertical="center"/>
    </xf>
    <xf numFmtId="0" fontId="24" fillId="0" borderId="0" xfId="0" applyFont="1"/>
    <xf numFmtId="1" fontId="11" fillId="0" borderId="5" xfId="0" applyNumberFormat="1" applyFont="1" applyBorder="1" applyAlignment="1">
      <alignment horizontal="center" vertical="center"/>
    </xf>
    <xf numFmtId="1" fontId="13" fillId="0" borderId="5" xfId="0" applyNumberFormat="1" applyFont="1" applyBorder="1" applyAlignment="1">
      <alignment horizontal="center" vertical="center"/>
    </xf>
    <xf numFmtId="1" fontId="7" fillId="0" borderId="5" xfId="0" applyNumberFormat="1" applyFont="1" applyBorder="1" applyAlignment="1">
      <alignment horizontal="center" vertical="center"/>
    </xf>
    <xf numFmtId="0" fontId="3" fillId="3" borderId="9" xfId="0" applyFont="1" applyFill="1" applyBorder="1" applyAlignment="1">
      <alignment horizontal="center" vertical="center" wrapText="1"/>
    </xf>
    <xf numFmtId="0" fontId="7" fillId="0" borderId="5" xfId="2" applyNumberFormat="1" applyFont="1" applyFill="1" applyBorder="1" applyAlignment="1">
      <alignment horizontal="center" vertical="center"/>
    </xf>
    <xf numFmtId="0" fontId="24" fillId="0" borderId="5" xfId="1" applyNumberFormat="1" applyFont="1" applyFill="1" applyBorder="1" applyAlignment="1">
      <alignment horizontal="center" vertical="center"/>
    </xf>
    <xf numFmtId="0" fontId="14" fillId="8" borderId="0" xfId="0" applyFont="1" applyFill="1" applyAlignment="1">
      <alignment vertical="top" wrapText="1"/>
    </xf>
    <xf numFmtId="0" fontId="3" fillId="8" borderId="0" xfId="0" applyFont="1" applyFill="1" applyAlignment="1">
      <alignment vertical="top" wrapText="1"/>
    </xf>
    <xf numFmtId="9" fontId="7" fillId="3" borderId="5" xfId="1" applyNumberFormat="1" applyFont="1" applyFill="1" applyBorder="1" applyAlignment="1">
      <alignment horizontal="center" vertical="center"/>
    </xf>
    <xf numFmtId="9" fontId="6" fillId="3" borderId="5" xfId="1" applyNumberFormat="1" applyFont="1" applyFill="1" applyBorder="1" applyAlignment="1">
      <alignment horizontal="center" vertical="center"/>
    </xf>
    <xf numFmtId="9" fontId="6" fillId="3" borderId="5" xfId="2" applyFont="1" applyFill="1" applyBorder="1" applyAlignment="1">
      <alignment horizontal="center" vertical="center"/>
    </xf>
    <xf numFmtId="0" fontId="24" fillId="3" borderId="5" xfId="1" applyNumberFormat="1" applyFont="1" applyFill="1" applyBorder="1" applyAlignment="1">
      <alignment horizontal="center" vertical="center"/>
    </xf>
    <xf numFmtId="0" fontId="7" fillId="3" borderId="5" xfId="1" applyNumberFormat="1" applyFont="1" applyFill="1" applyBorder="1" applyAlignment="1">
      <alignment horizontal="center" vertical="center"/>
    </xf>
    <xf numFmtId="166" fontId="22" fillId="3" borderId="5" xfId="0" applyNumberFormat="1" applyFont="1" applyFill="1" applyBorder="1" applyAlignment="1">
      <alignment horizontal="center" vertical="center"/>
    </xf>
    <xf numFmtId="166" fontId="20" fillId="3" borderId="5" xfId="0" applyNumberFormat="1" applyFont="1" applyFill="1" applyBorder="1" applyAlignment="1">
      <alignment horizontal="center" vertical="center"/>
    </xf>
    <xf numFmtId="165" fontId="22" fillId="0" borderId="5" xfId="1" applyNumberFormat="1" applyFont="1" applyFill="1" applyBorder="1" applyAlignment="1">
      <alignment horizontal="center" vertical="center"/>
    </xf>
    <xf numFmtId="165" fontId="20" fillId="0" borderId="5" xfId="1" applyNumberFormat="1" applyFont="1" applyFill="1" applyBorder="1" applyAlignment="1">
      <alignment horizontal="center" vertical="center"/>
    </xf>
    <xf numFmtId="165" fontId="22" fillId="3" borderId="5" xfId="1" applyNumberFormat="1" applyFont="1" applyFill="1" applyBorder="1" applyAlignment="1">
      <alignment horizontal="center" vertical="center"/>
    </xf>
    <xf numFmtId="165" fontId="20" fillId="3" borderId="5" xfId="1" applyNumberFormat="1" applyFont="1" applyFill="1" applyBorder="1" applyAlignment="1">
      <alignment horizontal="center" vertical="center"/>
    </xf>
    <xf numFmtId="1" fontId="7" fillId="5" borderId="5" xfId="1" applyNumberFormat="1" applyFont="1" applyFill="1" applyBorder="1" applyAlignment="1">
      <alignment horizontal="center" vertical="center"/>
    </xf>
    <xf numFmtId="9" fontId="7" fillId="8" borderId="5" xfId="2" applyFont="1" applyFill="1" applyBorder="1" applyAlignment="1">
      <alignment horizontal="center" vertical="center"/>
    </xf>
    <xf numFmtId="9" fontId="7" fillId="5" borderId="5" xfId="1" applyNumberFormat="1" applyFont="1" applyFill="1" applyBorder="1" applyAlignment="1">
      <alignment horizontal="center" vertical="center"/>
    </xf>
    <xf numFmtId="0" fontId="6" fillId="3" borderId="5" xfId="1" applyNumberFormat="1" applyFont="1" applyFill="1" applyBorder="1" applyAlignment="1">
      <alignment horizontal="center" vertical="center"/>
    </xf>
    <xf numFmtId="0" fontId="7" fillId="5" borderId="5" xfId="1" applyNumberFormat="1" applyFont="1" applyFill="1" applyBorder="1" applyAlignment="1">
      <alignment horizontal="center" vertical="center"/>
    </xf>
    <xf numFmtId="1" fontId="11" fillId="0" borderId="5" xfId="1" applyNumberFormat="1" applyFont="1" applyFill="1" applyBorder="1" applyAlignment="1">
      <alignment horizontal="center" vertical="center"/>
    </xf>
    <xf numFmtId="165" fontId="27" fillId="5" borderId="5" xfId="1" applyNumberFormat="1" applyFont="1" applyFill="1" applyBorder="1" applyAlignment="1">
      <alignment horizontal="center" vertical="center"/>
    </xf>
    <xf numFmtId="9" fontId="7" fillId="5" borderId="5" xfId="2" applyFont="1" applyFill="1" applyBorder="1" applyAlignment="1">
      <alignment horizontal="center" vertical="center"/>
    </xf>
    <xf numFmtId="1" fontId="7" fillId="8" borderId="5" xfId="0" applyNumberFormat="1" applyFont="1" applyFill="1" applyBorder="1" applyAlignment="1">
      <alignment horizontal="center" vertical="center"/>
    </xf>
    <xf numFmtId="9" fontId="27" fillId="8" borderId="5" xfId="2" applyFont="1" applyFill="1" applyBorder="1" applyAlignment="1">
      <alignment horizontal="center" vertical="center"/>
    </xf>
    <xf numFmtId="0" fontId="7" fillId="8" borderId="5" xfId="1" applyNumberFormat="1" applyFont="1" applyFill="1" applyBorder="1" applyAlignment="1">
      <alignment horizontal="center" vertical="center"/>
    </xf>
    <xf numFmtId="37" fontId="7" fillId="8" borderId="5" xfId="1" applyNumberFormat="1" applyFont="1" applyFill="1" applyBorder="1" applyAlignment="1">
      <alignment horizontal="center" vertical="center"/>
    </xf>
    <xf numFmtId="9" fontId="6" fillId="8" borderId="5" xfId="2" applyFont="1" applyFill="1" applyBorder="1" applyAlignment="1">
      <alignment horizontal="center" vertical="center"/>
    </xf>
    <xf numFmtId="165" fontId="27" fillId="8" borderId="5" xfId="1" applyNumberFormat="1" applyFont="1" applyFill="1" applyBorder="1" applyAlignment="1">
      <alignment horizontal="center" vertical="center"/>
    </xf>
    <xf numFmtId="1" fontId="6" fillId="8" borderId="5" xfId="1" applyNumberFormat="1" applyFont="1" applyFill="1" applyBorder="1" applyAlignment="1">
      <alignment horizontal="center" vertical="center"/>
    </xf>
    <xf numFmtId="166" fontId="6" fillId="8" borderId="5" xfId="1" applyNumberFormat="1" applyFont="1" applyFill="1" applyBorder="1" applyAlignment="1">
      <alignment horizontal="center" vertical="center"/>
    </xf>
    <xf numFmtId="166" fontId="28" fillId="3" borderId="5" xfId="0" applyNumberFormat="1" applyFont="1" applyFill="1" applyBorder="1" applyAlignment="1">
      <alignment horizontal="center" vertical="center"/>
    </xf>
    <xf numFmtId="9" fontId="13" fillId="0" borderId="5" xfId="2" applyFont="1" applyFill="1" applyBorder="1" applyAlignment="1">
      <alignment horizontal="center" vertical="center"/>
    </xf>
    <xf numFmtId="9" fontId="28" fillId="8" borderId="5" xfId="1" applyNumberFormat="1" applyFont="1" applyFill="1" applyBorder="1" applyAlignment="1">
      <alignment horizontal="center" vertical="center"/>
    </xf>
    <xf numFmtId="9" fontId="6" fillId="5" borderId="5" xfId="1" applyNumberFormat="1" applyFont="1" applyFill="1" applyBorder="1" applyAlignment="1">
      <alignment horizontal="center" vertical="center"/>
    </xf>
    <xf numFmtId="1" fontId="6" fillId="5" borderId="5" xfId="1" applyNumberFormat="1" applyFont="1" applyFill="1" applyBorder="1" applyAlignment="1">
      <alignment horizontal="center" vertical="center"/>
    </xf>
    <xf numFmtId="165" fontId="28" fillId="8" borderId="5" xfId="1" applyNumberFormat="1" applyFont="1" applyFill="1" applyBorder="1" applyAlignment="1">
      <alignment horizontal="center" vertical="center"/>
    </xf>
    <xf numFmtId="37" fontId="6" fillId="8" borderId="5" xfId="1" applyNumberFormat="1" applyFont="1" applyFill="1" applyBorder="1" applyAlignment="1">
      <alignment horizontal="center" vertical="center"/>
    </xf>
    <xf numFmtId="1" fontId="6" fillId="8" borderId="5" xfId="0" applyNumberFormat="1" applyFont="1" applyFill="1" applyBorder="1" applyAlignment="1">
      <alignment horizontal="center" vertical="center"/>
    </xf>
    <xf numFmtId="0" fontId="6" fillId="5" borderId="5" xfId="1" applyNumberFormat="1" applyFont="1" applyFill="1" applyBorder="1" applyAlignment="1">
      <alignment horizontal="center" vertical="center"/>
    </xf>
    <xf numFmtId="9" fontId="6" fillId="5" borderId="5" xfId="2" applyFont="1" applyFill="1" applyBorder="1" applyAlignment="1">
      <alignment horizontal="center" vertical="center"/>
    </xf>
    <xf numFmtId="0" fontId="11" fillId="0" borderId="5" xfId="1" applyNumberFormat="1" applyFont="1" applyFill="1" applyBorder="1" applyAlignment="1">
      <alignment horizontal="center" vertical="center"/>
    </xf>
    <xf numFmtId="37" fontId="3" fillId="3" borderId="5" xfId="0" applyNumberFormat="1" applyFont="1" applyFill="1" applyBorder="1" applyAlignment="1">
      <alignment horizontal="center" vertical="center"/>
    </xf>
    <xf numFmtId="1" fontId="27" fillId="5" borderId="5" xfId="2" applyNumberFormat="1" applyFont="1" applyFill="1" applyBorder="1" applyAlignment="1">
      <alignment horizontal="center" vertical="center" indent="2"/>
    </xf>
    <xf numFmtId="1" fontId="7" fillId="8" borderId="5" xfId="1" applyNumberFormat="1" applyFont="1" applyFill="1" applyBorder="1" applyAlignment="1">
      <alignment horizontal="center" vertical="center"/>
    </xf>
    <xf numFmtId="0" fontId="22" fillId="3" borderId="5" xfId="0" applyFont="1" applyFill="1" applyBorder="1" applyAlignment="1">
      <alignment horizontal="center" vertical="center"/>
    </xf>
    <xf numFmtId="0" fontId="20" fillId="3" borderId="5" xfId="0" applyFont="1" applyFill="1" applyBorder="1" applyAlignment="1">
      <alignment horizontal="center" vertical="center"/>
    </xf>
    <xf numFmtId="0" fontId="17" fillId="3" borderId="5" xfId="0" applyFont="1" applyFill="1" applyBorder="1" applyAlignment="1">
      <alignment horizontal="center"/>
    </xf>
    <xf numFmtId="1" fontId="3" fillId="0" borderId="5" xfId="1" applyNumberFormat="1" applyFont="1" applyFill="1" applyBorder="1" applyAlignment="1">
      <alignment horizontal="center" vertical="center"/>
    </xf>
    <xf numFmtId="1" fontId="28" fillId="0" borderId="5" xfId="0" applyNumberFormat="1" applyFont="1" applyBorder="1" applyAlignment="1">
      <alignment horizontal="center" vertical="center"/>
    </xf>
    <xf numFmtId="166" fontId="28" fillId="5" borderId="5" xfId="0" applyNumberFormat="1" applyFont="1" applyFill="1" applyBorder="1" applyAlignment="1">
      <alignment horizontal="center" vertical="center"/>
    </xf>
    <xf numFmtId="1" fontId="28" fillId="8" borderId="5" xfId="0" applyNumberFormat="1" applyFont="1" applyFill="1" applyBorder="1" applyAlignment="1">
      <alignment horizontal="center" vertical="center"/>
    </xf>
    <xf numFmtId="165" fontId="28" fillId="5" borderId="5" xfId="1" applyNumberFormat="1" applyFont="1" applyFill="1" applyBorder="1" applyAlignment="1">
      <alignment horizontal="center" vertical="center"/>
    </xf>
    <xf numFmtId="37" fontId="9" fillId="8" borderId="5" xfId="1" applyNumberFormat="1" applyFont="1" applyFill="1" applyBorder="1" applyAlignment="1">
      <alignment horizontal="center" vertical="center"/>
    </xf>
    <xf numFmtId="37" fontId="7" fillId="5" borderId="5" xfId="1" applyNumberFormat="1" applyFont="1" applyFill="1" applyBorder="1" applyAlignment="1">
      <alignment horizontal="center" vertical="center"/>
    </xf>
    <xf numFmtId="37" fontId="7" fillId="5" borderId="5" xfId="1" applyNumberFormat="1" applyFont="1" applyFill="1" applyBorder="1" applyAlignment="1">
      <alignment horizontal="left" vertical="center" indent="3"/>
    </xf>
    <xf numFmtId="9" fontId="27" fillId="8" borderId="5" xfId="2" applyFont="1" applyFill="1" applyBorder="1" applyAlignment="1">
      <alignment horizontal="center" vertical="center" indent="3"/>
    </xf>
    <xf numFmtId="165" fontId="7" fillId="8" borderId="5" xfId="1" applyNumberFormat="1" applyFont="1" applyFill="1" applyBorder="1" applyAlignment="1">
      <alignment horizontal="center" vertical="center"/>
    </xf>
    <xf numFmtId="9" fontId="28" fillId="5" borderId="5" xfId="2" applyFont="1" applyFill="1" applyBorder="1" applyAlignment="1">
      <alignment horizontal="center" vertical="center"/>
    </xf>
    <xf numFmtId="166" fontId="11" fillId="3" borderId="5" xfId="0" applyNumberFormat="1" applyFont="1" applyFill="1" applyBorder="1" applyAlignment="1">
      <alignment horizontal="center" vertical="center"/>
    </xf>
    <xf numFmtId="0" fontId="3" fillId="3" borderId="5" xfId="0" applyFont="1" applyFill="1" applyBorder="1" applyAlignment="1">
      <alignment horizontal="center" vertical="center" wrapText="1"/>
    </xf>
    <xf numFmtId="0" fontId="3" fillId="0" borderId="5" xfId="0" applyFont="1" applyBorder="1" applyAlignment="1">
      <alignment horizontal="center" vertical="center" wrapText="1"/>
    </xf>
    <xf numFmtId="0" fontId="22" fillId="0" borderId="5" xfId="0" applyFont="1" applyBorder="1" applyAlignment="1">
      <alignment horizontal="center" vertical="center" wrapText="1"/>
    </xf>
    <xf numFmtId="0" fontId="22" fillId="3" borderId="5" xfId="0" applyFont="1" applyFill="1" applyBorder="1" applyAlignment="1">
      <alignment horizontal="center" vertical="center" wrapText="1"/>
    </xf>
    <xf numFmtId="1" fontId="7" fillId="5" borderId="5" xfId="1" applyNumberFormat="1" applyFont="1" applyFill="1" applyBorder="1" applyAlignment="1">
      <alignment horizontal="left" vertical="center" indent="3"/>
    </xf>
    <xf numFmtId="37" fontId="6" fillId="5" borderId="5" xfId="1" applyNumberFormat="1" applyFont="1" applyFill="1" applyBorder="1" applyAlignment="1">
      <alignment horizontal="center" vertical="center"/>
    </xf>
    <xf numFmtId="9" fontId="28" fillId="8" borderId="5" xfId="2" applyFont="1" applyFill="1" applyBorder="1" applyAlignment="1">
      <alignment horizontal="center" vertical="center" indent="3"/>
    </xf>
    <xf numFmtId="1" fontId="21" fillId="0" borderId="5" xfId="2" applyNumberFormat="1" applyFont="1" applyFill="1" applyBorder="1" applyAlignment="1">
      <alignment horizontal="center" vertical="center" wrapText="1"/>
    </xf>
    <xf numFmtId="1" fontId="25" fillId="0" borderId="5" xfId="2" applyNumberFormat="1" applyFont="1" applyFill="1" applyBorder="1" applyAlignment="1">
      <alignment horizontal="center" vertical="center" wrapText="1"/>
    </xf>
    <xf numFmtId="37" fontId="11" fillId="3" borderId="5" xfId="0" applyNumberFormat="1" applyFont="1" applyFill="1" applyBorder="1" applyAlignment="1">
      <alignment horizontal="center" vertical="center"/>
    </xf>
    <xf numFmtId="0" fontId="23" fillId="3" borderId="5"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0" borderId="5" xfId="0" applyFont="1" applyBorder="1" applyAlignment="1">
      <alignment horizontal="center" vertical="center" wrapText="1"/>
    </xf>
    <xf numFmtId="0" fontId="3" fillId="0" borderId="5" xfId="0" quotePrefix="1" applyFont="1" applyBorder="1" applyAlignment="1">
      <alignment horizontal="center" vertical="center" wrapText="1"/>
    </xf>
    <xf numFmtId="9" fontId="10" fillId="0" borderId="11" xfId="2" applyFont="1" applyFill="1" applyBorder="1" applyAlignment="1">
      <alignment horizontal="center" vertical="center" wrapText="1"/>
    </xf>
    <xf numFmtId="9" fontId="10" fillId="0" borderId="9" xfId="2" applyFont="1" applyFill="1" applyBorder="1" applyAlignment="1">
      <alignment horizontal="center" vertical="center" wrapText="1"/>
    </xf>
    <xf numFmtId="166" fontId="11" fillId="3" borderId="5" xfId="0" applyNumberFormat="1" applyFont="1" applyFill="1" applyBorder="1" applyAlignment="1">
      <alignment horizontal="center" vertical="center"/>
    </xf>
    <xf numFmtId="37" fontId="12" fillId="0" borderId="5" xfId="0" applyNumberFormat="1" applyFont="1" applyBorder="1" applyAlignment="1">
      <alignment horizontal="center" vertical="center"/>
    </xf>
    <xf numFmtId="37" fontId="12" fillId="3" borderId="5" xfId="0" applyNumberFormat="1" applyFont="1" applyFill="1" applyBorder="1" applyAlignment="1">
      <alignment horizontal="center" vertical="center"/>
    </xf>
    <xf numFmtId="0" fontId="23" fillId="0" borderId="7" xfId="0" applyFont="1" applyBorder="1" applyAlignment="1">
      <alignment horizontal="center" vertical="center" wrapText="1"/>
    </xf>
    <xf numFmtId="0" fontId="23" fillId="0" borderId="10" xfId="0" applyFont="1" applyBorder="1" applyAlignment="1">
      <alignment horizontal="center" vertical="center" wrapText="1"/>
    </xf>
    <xf numFmtId="0" fontId="23" fillId="0" borderId="8" xfId="0" applyFont="1" applyBorder="1" applyAlignment="1">
      <alignment horizontal="center" vertical="center" wrapText="1"/>
    </xf>
    <xf numFmtId="0" fontId="24" fillId="2" borderId="5" xfId="0" applyFont="1" applyFill="1" applyBorder="1" applyAlignment="1">
      <alignment horizontal="center" vertical="center" wrapText="1"/>
    </xf>
    <xf numFmtId="0" fontId="3" fillId="2" borderId="5" xfId="0" applyFont="1" applyFill="1" applyBorder="1" applyAlignment="1">
      <alignment horizontal="center" vertical="center" wrapText="1"/>
    </xf>
    <xf numFmtId="1" fontId="3" fillId="0" borderId="5" xfId="2" applyNumberFormat="1" applyFont="1" applyFill="1" applyBorder="1" applyAlignment="1">
      <alignment horizontal="center" vertical="center" wrapText="1"/>
    </xf>
    <xf numFmtId="1" fontId="14" fillId="0" borderId="5" xfId="2" applyNumberFormat="1" applyFont="1" applyFill="1" applyBorder="1" applyAlignment="1">
      <alignment horizontal="center" vertical="center" wrapText="1"/>
    </xf>
    <xf numFmtId="9" fontId="11" fillId="0" borderId="5" xfId="0" applyNumberFormat="1" applyFont="1" applyBorder="1" applyAlignment="1">
      <alignment horizontal="center" vertical="center"/>
    </xf>
    <xf numFmtId="0" fontId="23" fillId="0" borderId="6" xfId="0" applyFont="1" applyBorder="1" applyAlignment="1">
      <alignment horizontal="center" vertical="center" wrapText="1"/>
    </xf>
    <xf numFmtId="0" fontId="4" fillId="0" borderId="6" xfId="0" applyFont="1" applyBorder="1" applyAlignment="1">
      <alignment horizontal="center" vertical="center" wrapText="1"/>
    </xf>
    <xf numFmtId="9" fontId="11" fillId="3" borderId="5" xfId="0" applyNumberFormat="1" applyFont="1" applyFill="1" applyBorder="1" applyAlignment="1">
      <alignment horizontal="center" vertical="center"/>
    </xf>
    <xf numFmtId="9" fontId="12" fillId="3" borderId="5" xfId="0" applyNumberFormat="1" applyFont="1" applyFill="1" applyBorder="1" applyAlignment="1">
      <alignment horizontal="center" vertical="center"/>
    </xf>
    <xf numFmtId="0" fontId="3" fillId="3" borderId="5" xfId="0" applyFont="1" applyFill="1" applyBorder="1" applyAlignment="1">
      <alignment horizontal="center" vertical="center" wrapText="1"/>
    </xf>
    <xf numFmtId="1" fontId="10" fillId="3" borderId="5" xfId="2" applyNumberFormat="1" applyFont="1" applyFill="1" applyBorder="1" applyAlignment="1">
      <alignment horizontal="center" vertical="center" wrapText="1"/>
    </xf>
    <xf numFmtId="1" fontId="3" fillId="3" borderId="5" xfId="2" applyNumberFormat="1" applyFont="1" applyFill="1" applyBorder="1" applyAlignment="1">
      <alignment horizontal="center" vertical="center" wrapText="1"/>
    </xf>
    <xf numFmtId="166" fontId="11" fillId="0" borderId="5" xfId="0" applyNumberFormat="1" applyFont="1" applyBorder="1" applyAlignment="1">
      <alignment horizontal="center" vertical="center"/>
    </xf>
    <xf numFmtId="9" fontId="12" fillId="3" borderId="5" xfId="2" applyFont="1" applyFill="1" applyBorder="1" applyAlignment="1">
      <alignment horizontal="center" vertical="center" wrapText="1"/>
    </xf>
    <xf numFmtId="9" fontId="12" fillId="3" borderId="7" xfId="2" applyFont="1" applyFill="1" applyBorder="1" applyAlignment="1">
      <alignment horizontal="center" vertical="center" wrapText="1"/>
    </xf>
    <xf numFmtId="9" fontId="3" fillId="3" borderId="8" xfId="2" applyFont="1" applyFill="1" applyBorder="1" applyAlignment="1">
      <alignment horizontal="center" vertical="center" wrapText="1"/>
    </xf>
    <xf numFmtId="9" fontId="3" fillId="3" borderId="5" xfId="2" applyFont="1" applyFill="1" applyBorder="1" applyAlignment="1">
      <alignment horizontal="center" vertical="center" wrapText="1"/>
    </xf>
    <xf numFmtId="9" fontId="10" fillId="3" borderId="5" xfId="2" applyFont="1" applyFill="1" applyBorder="1" applyAlignment="1">
      <alignment horizontal="center" vertical="center" wrapText="1"/>
    </xf>
    <xf numFmtId="9" fontId="10" fillId="3" borderId="11" xfId="2" applyFont="1" applyFill="1" applyBorder="1" applyAlignment="1">
      <alignment horizontal="center" vertical="center" wrapText="1"/>
    </xf>
    <xf numFmtId="9" fontId="10" fillId="3" borderId="9" xfId="2" applyFont="1" applyFill="1" applyBorder="1" applyAlignment="1">
      <alignment horizontal="center" vertical="center" wrapText="1"/>
    </xf>
    <xf numFmtId="37" fontId="22" fillId="2" borderId="5" xfId="0" applyNumberFormat="1" applyFont="1" applyFill="1" applyBorder="1" applyAlignment="1">
      <alignment horizontal="center" vertical="center"/>
    </xf>
    <xf numFmtId="9" fontId="3" fillId="0" borderId="5" xfId="2" applyFont="1" applyFill="1" applyBorder="1" applyAlignment="1">
      <alignment horizontal="center" vertical="center" wrapText="1"/>
    </xf>
    <xf numFmtId="9" fontId="3" fillId="0" borderId="7" xfId="2" applyFont="1" applyFill="1" applyBorder="1" applyAlignment="1">
      <alignment horizontal="center" vertical="center" wrapText="1"/>
    </xf>
    <xf numFmtId="9" fontId="10" fillId="0" borderId="5" xfId="0" applyNumberFormat="1" applyFont="1" applyBorder="1" applyAlignment="1">
      <alignment horizontal="center" vertical="center"/>
    </xf>
    <xf numFmtId="9" fontId="10" fillId="2" borderId="5" xfId="0" applyNumberFormat="1" applyFont="1" applyFill="1" applyBorder="1" applyAlignment="1">
      <alignment horizontal="center" vertical="center" wrapText="1"/>
    </xf>
    <xf numFmtId="0" fontId="9" fillId="3" borderId="5" xfId="0" quotePrefix="1" applyFont="1" applyFill="1" applyBorder="1" applyAlignment="1">
      <alignment horizontal="center" vertical="center" wrapText="1"/>
    </xf>
    <xf numFmtId="0" fontId="21" fillId="0" borderId="7" xfId="0" applyFont="1" applyBorder="1" applyAlignment="1">
      <alignment horizontal="center" vertical="center" wrapText="1"/>
    </xf>
    <xf numFmtId="0" fontId="21" fillId="0" borderId="10" xfId="0" applyFont="1" applyBorder="1" applyAlignment="1">
      <alignment horizontal="center" vertical="center" wrapText="1"/>
    </xf>
    <xf numFmtId="0" fontId="21" fillId="0" borderId="8" xfId="0" applyFont="1" applyBorder="1" applyAlignment="1">
      <alignment horizontal="center" vertical="center" wrapText="1"/>
    </xf>
    <xf numFmtId="0" fontId="24" fillId="3" borderId="5" xfId="0" quotePrefix="1" applyFont="1" applyFill="1" applyBorder="1" applyAlignment="1">
      <alignment horizontal="center" vertical="center" wrapText="1"/>
    </xf>
    <xf numFmtId="0" fontId="3" fillId="3" borderId="5" xfId="0" quotePrefix="1" applyFont="1" applyFill="1" applyBorder="1" applyAlignment="1">
      <alignment horizontal="center" vertical="center" wrapText="1"/>
    </xf>
    <xf numFmtId="9" fontId="22" fillId="3" borderId="5" xfId="0" applyNumberFormat="1" applyFont="1" applyFill="1" applyBorder="1" applyAlignment="1">
      <alignment horizontal="center" vertical="center"/>
    </xf>
    <xf numFmtId="0" fontId="5" fillId="4" borderId="3" xfId="0" applyFont="1" applyFill="1" applyBorder="1" applyAlignment="1">
      <alignment horizontal="center" vertical="center"/>
    </xf>
    <xf numFmtId="0" fontId="5" fillId="4" borderId="4" xfId="0" applyFont="1" applyFill="1" applyBorder="1" applyAlignment="1">
      <alignment horizontal="center" vertical="center"/>
    </xf>
    <xf numFmtId="0" fontId="5" fillId="4" borderId="2" xfId="0" applyFont="1" applyFill="1" applyBorder="1" applyAlignment="1">
      <alignment horizontal="center" vertical="center"/>
    </xf>
    <xf numFmtId="0" fontId="4" fillId="0" borderId="8" xfId="0" applyFont="1" applyBorder="1" applyAlignment="1">
      <alignment horizontal="center" vertical="center" wrapText="1"/>
    </xf>
    <xf numFmtId="0" fontId="3" fillId="0" borderId="8" xfId="0" applyFont="1" applyBorder="1" applyAlignment="1">
      <alignment horizontal="center" vertical="center" wrapText="1"/>
    </xf>
    <xf numFmtId="0" fontId="3" fillId="0" borderId="5" xfId="0" applyFont="1" applyBorder="1" applyAlignment="1">
      <alignment horizontal="center" vertical="center" wrapText="1"/>
    </xf>
    <xf numFmtId="9" fontId="10" fillId="0" borderId="6" xfId="2" applyFont="1" applyFill="1" applyBorder="1" applyAlignment="1">
      <alignment horizontal="center" vertical="center" wrapText="1"/>
    </xf>
    <xf numFmtId="0" fontId="8" fillId="3" borderId="5" xfId="0" applyFont="1" applyFill="1" applyBorder="1" applyAlignment="1">
      <alignment horizontal="center" vertical="center" wrapText="1"/>
    </xf>
    <xf numFmtId="9" fontId="12" fillId="0" borderId="5" xfId="0" applyNumberFormat="1" applyFont="1" applyBorder="1" applyAlignment="1">
      <alignment horizontal="center" vertical="center"/>
    </xf>
    <xf numFmtId="37" fontId="21" fillId="3" borderId="5" xfId="0" applyNumberFormat="1" applyFont="1" applyFill="1" applyBorder="1" applyAlignment="1">
      <alignment horizontal="center" vertical="center"/>
    </xf>
    <xf numFmtId="37" fontId="29" fillId="3" borderId="5" xfId="0" applyNumberFormat="1" applyFont="1" applyFill="1" applyBorder="1" applyAlignment="1">
      <alignment horizontal="center" vertical="center"/>
    </xf>
    <xf numFmtId="169" fontId="11" fillId="0" borderId="5" xfId="0" applyNumberFormat="1" applyFont="1" applyBorder="1" applyAlignment="1">
      <alignment horizontal="center" vertical="center"/>
    </xf>
    <xf numFmtId="9" fontId="3" fillId="3" borderId="7" xfId="2" applyFont="1" applyFill="1" applyBorder="1" applyAlignment="1">
      <alignment horizontal="center" vertical="center" wrapText="1"/>
    </xf>
    <xf numFmtId="37" fontId="29" fillId="0" borderId="5" xfId="0" applyNumberFormat="1" applyFont="1" applyBorder="1" applyAlignment="1">
      <alignment horizontal="center" vertical="center"/>
    </xf>
    <xf numFmtId="9" fontId="10" fillId="3" borderId="7" xfId="2" applyFont="1" applyFill="1" applyBorder="1" applyAlignment="1">
      <alignment horizontal="center" vertical="center" wrapText="1"/>
    </xf>
    <xf numFmtId="16" fontId="4" fillId="0" borderId="7" xfId="0" quotePrefix="1" applyNumberFormat="1" applyFont="1" applyBorder="1" applyAlignment="1">
      <alignment horizontal="center" vertical="center" wrapText="1"/>
    </xf>
    <xf numFmtId="16" fontId="4" fillId="0" borderId="10" xfId="0" quotePrefix="1" applyNumberFormat="1" applyFont="1" applyBorder="1" applyAlignment="1">
      <alignment horizontal="center" vertical="center" wrapText="1"/>
    </xf>
    <xf numFmtId="0" fontId="4" fillId="7" borderId="7" xfId="0" applyFont="1" applyFill="1" applyBorder="1" applyAlignment="1">
      <alignment horizontal="center" vertical="center" wrapText="1"/>
    </xf>
    <xf numFmtId="0" fontId="4" fillId="7" borderId="10" xfId="0" applyFont="1" applyFill="1" applyBorder="1" applyAlignment="1">
      <alignment horizontal="center" vertical="center" wrapText="1"/>
    </xf>
    <xf numFmtId="0" fontId="4" fillId="7" borderId="8"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3" fillId="3" borderId="8" xfId="0" applyFont="1" applyFill="1" applyBorder="1" applyAlignment="1">
      <alignment horizontal="center" vertical="center" wrapText="1"/>
    </xf>
    <xf numFmtId="16" fontId="4" fillId="0" borderId="5" xfId="0" quotePrefix="1" applyNumberFormat="1" applyFont="1" applyBorder="1" applyAlignment="1">
      <alignment horizontal="center" vertical="center" wrapText="1"/>
    </xf>
    <xf numFmtId="0" fontId="4" fillId="3" borderId="7" xfId="0" applyFont="1" applyFill="1" applyBorder="1" applyAlignment="1">
      <alignment horizontal="center" vertical="center" wrapText="1"/>
    </xf>
    <xf numFmtId="37" fontId="3" fillId="0" borderId="5" xfId="0" applyNumberFormat="1" applyFont="1" applyBorder="1" applyAlignment="1">
      <alignment horizontal="center" vertical="center"/>
    </xf>
    <xf numFmtId="9" fontId="14" fillId="0" borderId="5" xfId="2" applyFont="1" applyFill="1" applyBorder="1" applyAlignment="1">
      <alignment horizontal="center" vertical="center" wrapText="1"/>
    </xf>
    <xf numFmtId="9" fontId="11" fillId="3" borderId="5" xfId="2" applyFont="1" applyFill="1" applyBorder="1" applyAlignment="1">
      <alignment horizontal="center" vertical="center" wrapText="1"/>
    </xf>
    <xf numFmtId="0" fontId="23" fillId="0" borderId="5" xfId="0" applyFont="1" applyBorder="1" applyAlignment="1">
      <alignment horizontal="center" vertical="center" wrapText="1"/>
    </xf>
    <xf numFmtId="0" fontId="24" fillId="0" borderId="5" xfId="0" quotePrefix="1" applyFont="1" applyBorder="1" applyAlignment="1">
      <alignment horizontal="center" vertical="center" wrapText="1"/>
    </xf>
    <xf numFmtId="9" fontId="22" fillId="0" borderId="5" xfId="0" applyNumberFormat="1" applyFont="1" applyBorder="1" applyAlignment="1">
      <alignment horizontal="center" vertical="center"/>
    </xf>
    <xf numFmtId="0" fontId="11" fillId="0" borderId="5" xfId="0" applyFont="1" applyBorder="1" applyAlignment="1">
      <alignment horizontal="center" vertical="center"/>
    </xf>
    <xf numFmtId="1" fontId="10" fillId="0" borderId="5" xfId="0" applyNumberFormat="1" applyFont="1" applyBorder="1" applyAlignment="1">
      <alignment horizontal="center" vertical="center"/>
    </xf>
    <xf numFmtId="0" fontId="10" fillId="0" borderId="5" xfId="0" applyFont="1" applyBorder="1" applyAlignment="1">
      <alignment horizontal="center" vertical="center"/>
    </xf>
    <xf numFmtId="0" fontId="23" fillId="3" borderId="7" xfId="0" applyFont="1" applyFill="1" applyBorder="1" applyAlignment="1">
      <alignment horizontal="center" vertical="center" wrapText="1"/>
    </xf>
    <xf numFmtId="0" fontId="23" fillId="3" borderId="10" xfId="0" applyFont="1" applyFill="1" applyBorder="1" applyAlignment="1">
      <alignment horizontal="center" vertical="center" wrapText="1"/>
    </xf>
    <xf numFmtId="0" fontId="23" fillId="3" borderId="8" xfId="0" applyFont="1" applyFill="1" applyBorder="1" applyAlignment="1">
      <alignment horizontal="center" vertical="center" wrapText="1"/>
    </xf>
    <xf numFmtId="0" fontId="24" fillId="3" borderId="5" xfId="0" applyFont="1" applyFill="1" applyBorder="1" applyAlignment="1">
      <alignment horizontal="center" vertical="center" wrapText="1"/>
    </xf>
    <xf numFmtId="37" fontId="22" fillId="3" borderId="5" xfId="0" applyNumberFormat="1" applyFont="1" applyFill="1" applyBorder="1" applyAlignment="1">
      <alignment horizontal="center" vertical="center"/>
    </xf>
    <xf numFmtId="0" fontId="20" fillId="0" borderId="9" xfId="0" applyFont="1" applyBorder="1" applyAlignment="1">
      <alignment horizontal="center" vertical="center" wrapText="1"/>
    </xf>
    <xf numFmtId="0" fontId="22" fillId="0" borderId="5" xfId="0" applyFont="1" applyBorder="1" applyAlignment="1">
      <alignment horizontal="center" vertical="center" wrapText="1"/>
    </xf>
    <xf numFmtId="167" fontId="22" fillId="0" borderId="5" xfId="0" applyNumberFormat="1" applyFont="1" applyBorder="1" applyAlignment="1">
      <alignment horizontal="center" vertical="center" wrapText="1"/>
    </xf>
    <xf numFmtId="37" fontId="10" fillId="0" borderId="5" xfId="0" applyNumberFormat="1" applyFont="1" applyBorder="1" applyAlignment="1">
      <alignment horizontal="center" vertical="center"/>
    </xf>
    <xf numFmtId="0" fontId="4" fillId="3" borderId="9" xfId="0" applyFont="1" applyFill="1" applyBorder="1" applyAlignment="1">
      <alignment horizontal="center" vertical="center" wrapText="1"/>
    </xf>
    <xf numFmtId="16" fontId="4" fillId="0" borderId="8" xfId="0" quotePrefix="1" applyNumberFormat="1" applyFont="1" applyBorder="1" applyAlignment="1">
      <alignment horizontal="center" vertical="center" wrapText="1"/>
    </xf>
    <xf numFmtId="0" fontId="20" fillId="3" borderId="9" xfId="0" applyFont="1" applyFill="1" applyBorder="1" applyAlignment="1">
      <alignment horizontal="center" vertical="center" wrapText="1"/>
    </xf>
    <xf numFmtId="0" fontId="22" fillId="3" borderId="5" xfId="0" applyFont="1" applyFill="1" applyBorder="1" applyAlignment="1">
      <alignment horizontal="center" vertical="center" wrapText="1"/>
    </xf>
    <xf numFmtId="167" fontId="22" fillId="3" borderId="5" xfId="0" applyNumberFormat="1" applyFont="1" applyFill="1" applyBorder="1" applyAlignment="1">
      <alignment horizontal="center" vertical="center" wrapText="1"/>
    </xf>
    <xf numFmtId="164" fontId="26" fillId="3" borderId="5" xfId="0" applyNumberFormat="1" applyFont="1" applyFill="1" applyBorder="1" applyAlignment="1">
      <alignment horizontal="center" vertical="center" wrapText="1"/>
    </xf>
    <xf numFmtId="166" fontId="12" fillId="3" borderId="7" xfId="2" applyNumberFormat="1" applyFont="1" applyFill="1" applyBorder="1" applyAlignment="1">
      <alignment horizontal="center" vertical="center" wrapText="1"/>
    </xf>
    <xf numFmtId="166" fontId="12" fillId="3" borderId="10" xfId="2" applyNumberFormat="1" applyFont="1" applyFill="1" applyBorder="1" applyAlignment="1">
      <alignment horizontal="center" vertical="center" wrapText="1"/>
    </xf>
    <xf numFmtId="166" fontId="12" fillId="3" borderId="8" xfId="2" applyNumberFormat="1" applyFont="1" applyFill="1" applyBorder="1" applyAlignment="1">
      <alignment horizontal="center" vertical="center" wrapText="1"/>
    </xf>
    <xf numFmtId="167" fontId="22" fillId="3" borderId="7" xfId="0" applyNumberFormat="1" applyFont="1" applyFill="1" applyBorder="1" applyAlignment="1">
      <alignment horizontal="center" vertical="center" wrapText="1"/>
    </xf>
    <xf numFmtId="167" fontId="22" fillId="3" borderId="10" xfId="0" applyNumberFormat="1" applyFont="1" applyFill="1" applyBorder="1" applyAlignment="1">
      <alignment horizontal="center" vertical="center" wrapText="1"/>
    </xf>
    <xf numFmtId="167" fontId="22" fillId="3" borderId="8" xfId="0" applyNumberFormat="1" applyFont="1" applyFill="1" applyBorder="1" applyAlignment="1">
      <alignment horizontal="center" vertical="center" wrapText="1"/>
    </xf>
    <xf numFmtId="164" fontId="29" fillId="3" borderId="5" xfId="0" applyNumberFormat="1" applyFont="1" applyFill="1" applyBorder="1" applyAlignment="1">
      <alignment horizontal="center" vertical="center" wrapText="1"/>
    </xf>
    <xf numFmtId="166" fontId="3" fillId="3" borderId="7" xfId="2" applyNumberFormat="1" applyFont="1" applyFill="1" applyBorder="1" applyAlignment="1">
      <alignment horizontal="center" vertical="center" wrapText="1"/>
    </xf>
    <xf numFmtId="166" fontId="3" fillId="3" borderId="10" xfId="2" applyNumberFormat="1" applyFont="1" applyFill="1" applyBorder="1" applyAlignment="1">
      <alignment horizontal="center" vertical="center" wrapText="1"/>
    </xf>
    <xf numFmtId="166" fontId="3" fillId="3" borderId="8" xfId="2" applyNumberFormat="1" applyFont="1" applyFill="1" applyBorder="1" applyAlignment="1">
      <alignment horizontal="center" vertical="center" wrapText="1"/>
    </xf>
    <xf numFmtId="167" fontId="22" fillId="2" borderId="5" xfId="0" applyNumberFormat="1" applyFont="1" applyFill="1" applyBorder="1" applyAlignment="1">
      <alignment horizontal="center" vertical="center" wrapText="1"/>
    </xf>
    <xf numFmtId="164" fontId="22" fillId="3" borderId="5" xfId="0" applyNumberFormat="1" applyFont="1" applyFill="1" applyBorder="1" applyAlignment="1">
      <alignment horizontal="center" vertical="center" wrapText="1"/>
    </xf>
    <xf numFmtId="165" fontId="8" fillId="0" borderId="5" xfId="1" applyNumberFormat="1" applyFont="1" applyFill="1" applyBorder="1" applyAlignment="1">
      <alignment horizontal="center" vertical="center"/>
    </xf>
    <xf numFmtId="165" fontId="8" fillId="3" borderId="5" xfId="1" applyNumberFormat="1" applyFont="1" applyFill="1" applyBorder="1" applyAlignment="1">
      <alignment horizontal="center" vertical="center"/>
    </xf>
    <xf numFmtId="167" fontId="30" fillId="2" borderId="5" xfId="0" applyNumberFormat="1" applyFont="1" applyFill="1" applyBorder="1" applyAlignment="1">
      <alignment horizontal="center" vertical="center" wrapText="1"/>
    </xf>
    <xf numFmtId="165" fontId="6" fillId="8" borderId="5" xfId="1" applyNumberFormat="1" applyFont="1" applyFill="1" applyBorder="1" applyAlignment="1">
      <alignment horizontal="center" vertical="center"/>
    </xf>
    <xf numFmtId="167" fontId="12" fillId="3" borderId="5" xfId="0" applyNumberFormat="1" applyFont="1" applyFill="1" applyBorder="1" applyAlignment="1">
      <alignment horizontal="center" vertical="center" wrapText="1"/>
    </xf>
    <xf numFmtId="165" fontId="6" fillId="5" borderId="5" xfId="1" applyNumberFormat="1" applyFont="1" applyFill="1" applyBorder="1" applyAlignment="1">
      <alignment horizontal="center" vertical="center"/>
    </xf>
  </cellXfs>
  <cellStyles count="3">
    <cellStyle name="Comma" xfId="1" builtinId="3"/>
    <cellStyle name="Normal" xfId="0" builtinId="0"/>
    <cellStyle name="Percent" xfId="2" builtinId="5"/>
  </cellStyles>
  <dxfs count="5">
    <dxf>
      <font>
        <color theme="0"/>
      </font>
      <fill>
        <patternFill>
          <bgColor rgb="FF00B050"/>
        </patternFill>
      </fill>
    </dxf>
    <dxf>
      <font>
        <color theme="0"/>
      </font>
      <fill>
        <patternFill>
          <bgColor rgb="FFFF0000"/>
        </patternFill>
      </fill>
    </dxf>
    <dxf>
      <font>
        <color theme="0"/>
      </font>
      <fill>
        <patternFill>
          <bgColor rgb="FF00B050"/>
        </patternFill>
      </fill>
    </dxf>
    <dxf>
      <font>
        <color theme="0"/>
      </font>
      <fill>
        <patternFill>
          <bgColor rgb="FFFF0000"/>
        </patternFill>
      </fill>
    </dxf>
    <dxf>
      <font>
        <color theme="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Jim Rosen" id="{5990F661-A3AB-41F4-AEAA-FE26C0B875A9}" userId="" providerId=""/>
  <person displayName="Lizlee Galley" id="{F0C1FE1F-CA66-453D-BCFC-7F99948C8DD5}" userId="" providerId=""/>
  <person displayName="Leonardo Monzo" id="{609B96A1-92B7-4C31-9E45-8215DF1B6B95}" userId="" providerId=""/>
  <person displayName="Rosen, Jim M (GE Vernova)" id="{207828A5-0907-4FA1-8C71-CDCF46857015}" userId="S::210077026@ge.com::7e36ff5b-dad9-4cae-9842-ebbdead30345"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6" dT="2026-08-12T01:26:47.89" personId="{F0C1FE1F-CA66-453D-BCFC-7F99948C8DD5}" id="{06BE996C-F791-4A9F-AA6D-EE2A8EE2F4C3}">
    <text xml:space="preserve">BLC: Lost Time Injury - Fall Event 7/21/2026. Recordable </text>
  </threadedComment>
  <threadedComment ref="Q6" dT="2026-08-12T01:27:25.92" personId="{F0C1FE1F-CA66-453D-BCFC-7F99948C8DD5}" id="{D6A2C5DA-DC04-4CDE-B78F-1BBC1E6623D5}" parentId="{06BE996C-F791-4A9F-AA6D-EE2A8EE2F4C3}">
    <text>PSE Near Miss: HLC 7HA.03 Project Post Lift Operation Failure</text>
  </threadedComment>
  <threadedComment ref="Q9" dT="2026-08-12T12:52:30.70" personId="{F0C1FE1F-CA66-453D-BCFC-7F99948C8DD5}" id="{17407CA0-19D6-410B-BD94-9BBC65BFCC7C}">
    <text>1 X 200000/183589.43=1.089</text>
  </threadedComment>
  <threadedComment ref="Q9" dT="2026-08-12T12:52:46.71" personId="{F0C1FE1F-CA66-453D-BCFC-7F99948C8DD5}" id="{CFF977E5-20AE-4211-A668-ADE79729D017}" parentId="{17407CA0-19D6-410B-BD94-9BBC65BFCC7C}">
    <text>I&amp;I FW 33 1.089</text>
  </threadedComment>
  <threadedComment ref="R9" dT="2026-09-09T13:18:12.41" personId="{F0C1FE1F-CA66-453D-BCFC-7F99948C8DD5}" id="{37C346EB-164E-421B-B3A5-A71619208C83}">
    <text>estimated I&amp;I rate for now. Rate will change by next week</text>
  </threadedComment>
  <threadedComment ref="F13" dT="2024-05-21T17:14:25.01" personId="{F0C1FE1F-CA66-453D-BCFC-7F99948C8DD5}" id="{160740E7-DFEB-4450-B5C5-A17286B215D6}">
    <text>90% RA ATS closure rate all sites by YE</text>
  </threadedComment>
  <threadedComment ref="S33" dT="2026-10-09T13:03:48.82" personId="{207828A5-0907-4FA1-8C71-CDCF46857015}" id="{1AF062B2-D337-4E87-B548-0EB2DB830EEC}">
    <text>ELT ST 26-1</text>
  </threadedComment>
  <threadedComment ref="O42" dT="2026-07-08T12:43:26.92" personId="{609B96A1-92B7-4C31-9E45-8215DF1B6B95}" id="{50577B9E-D913-49BB-B91E-A5BD3E934319}">
    <text>Pre-arranged with Lead Instructor, the whole GT Mechanical class won't have Pre-OJT</text>
  </threadedComment>
  <threadedComment ref="K51" dT="2026-04-06T13:50:50.18" personId="{5990F661-A3AB-41F4-AEAA-FE26C0B875A9}" id="{4A61949D-D058-4614-9CBE-136784BCC6E7}">
    <text>March on-time submission is 58% based on a 12-week rolling window (Jan–Mar), compared to 83% in January and 60% in February (4-week view). The lower result is driven by the expanded reporting window and increased visibility from the new exception tracking process implemented mid-March.
Initial tracking shows the majority of late submissions were due to system and access issues, with limited cases of true instructor late entries. Multiple MyTech/FieldTime issues impacted instructors, with additional likely unreported impacts across the Gas Power population.
As tracking stabilizes and system issues are resolved, the data will more accurately reflect true performance and is expected to improve.</text>
  </threadedComment>
  <threadedComment ref="M51" dT="2026-05-08T18:34:11.14" personId="{5990F661-A3AB-41F4-AEAA-FE26C0B875A9}" id="{40736F15-DF93-4810-BC49-A79E1FB56ED1}">
    <text>https://gevernova.box.com/s/17o8hpcpubfb6lm82c157gdcde9kcful</text>
  </threadedComment>
  <threadedComment ref="Q51" dT="2026-08-10T18:51:22.55" personId="{5990F661-A3AB-41F4-AEAA-FE26C0B875A9}" id="{F644D89E-1836-4B19-B5E0-2664B9B5862D}">
    <text>Ben Smith access issues</text>
  </threadedComment>
  <threadedComment ref="T51" dT="2026-10-09T13:21:36.44" personId="{207828A5-0907-4FA1-8C71-CDCF46857015}" id="{249040F4-BD6C-4879-B42F-2781C2CB4456}">
    <text>https://gevernova.box.com/s/zfcjhwxq8my71tmkvyva54f2s0airatl</text>
    <extLst>
      <x:ext xmlns:xltc2="http://schemas.microsoft.com/office/spreadsheetml/2020/threadedcomments2" uri="{F7C98A9C-CBB3-438F-8F68-D28B6AF4A901}">
        <xltc2:checksum>3210079111</xltc2:checksum>
        <xltc2:hyperlink startIndex="0" length="60" url="https://gevernova.box.com/s/zfcjhwxq8my71tmkvyva54f2s0airatl"/>
      </x:ext>
    </extLs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470FC-1EEC-4C2D-86ED-EE3A04D27ABC}">
  <sheetPr>
    <pageSetUpPr fitToPage="1"/>
  </sheetPr>
  <dimension ref="A1:Y95"/>
  <sheetViews>
    <sheetView tabSelected="1" zoomScale="80" zoomScaleNormal="80" workbookViewId="0">
      <pane xSplit="8" ySplit="3" topLeftCell="I39" activePane="bottomRight" state="frozen"/>
      <selection pane="topRight" activeCell="I1" sqref="I1"/>
      <selection pane="bottomLeft" activeCell="A4" sqref="A4"/>
      <selection pane="bottomRight" activeCell="Y63" sqref="Y63"/>
    </sheetView>
  </sheetViews>
  <sheetFormatPr defaultColWidth="8.5703125" defaultRowHeight="15" customHeight="1" outlineLevelCol="1" x14ac:dyDescent="0.25"/>
  <cols>
    <col min="1" max="1" width="2.5703125" style="7" customWidth="1"/>
    <col min="2" max="2" width="12.42578125" style="7" customWidth="1"/>
    <col min="3" max="3" width="34.42578125" style="7" customWidth="1"/>
    <col min="4" max="4" width="14" style="7" customWidth="1"/>
    <col min="5" max="5" width="9.42578125" style="7" customWidth="1" outlineLevel="1"/>
    <col min="6" max="6" width="9.42578125" style="7" customWidth="1"/>
    <col min="7" max="7" width="9.42578125" style="7" customWidth="1" collapsed="1"/>
    <col min="8" max="8" width="6.42578125" style="7" customWidth="1"/>
    <col min="9" max="9" width="10.42578125" style="7" customWidth="1" outlineLevel="1"/>
    <col min="10" max="11" width="9.5703125" style="7" customWidth="1" outlineLevel="1"/>
    <col min="12" max="12" width="9.5703125" style="10" customWidth="1"/>
    <col min="13" max="15" width="9.5703125" style="7" customWidth="1" outlineLevel="1"/>
    <col min="16" max="16" width="9.5703125" style="10" customWidth="1"/>
    <col min="17" max="19" width="9.5703125" style="7" customWidth="1" outlineLevel="1"/>
    <col min="20" max="20" width="9.5703125" style="10" customWidth="1"/>
    <col min="21" max="23" width="9.5703125" style="7" customWidth="1" outlineLevel="1"/>
    <col min="24" max="24" width="9.5703125" style="10" customWidth="1"/>
    <col min="25" max="16384" width="8.5703125" style="7"/>
  </cols>
  <sheetData>
    <row r="1" spans="1:25" ht="15.75" x14ac:dyDescent="0.25">
      <c r="A1" s="5"/>
      <c r="B1" s="5"/>
      <c r="C1" s="5"/>
      <c r="D1" s="5"/>
      <c r="E1" s="5"/>
      <c r="F1" s="5"/>
      <c r="G1" s="5"/>
      <c r="H1" s="5"/>
      <c r="I1" s="5"/>
      <c r="J1" s="5"/>
      <c r="K1" s="5"/>
      <c r="L1" s="6"/>
      <c r="M1" s="5"/>
      <c r="N1" s="5"/>
      <c r="O1" s="5"/>
      <c r="P1" s="6"/>
      <c r="Q1" s="5"/>
      <c r="R1" s="5"/>
      <c r="S1" s="5"/>
      <c r="T1" s="6"/>
      <c r="U1" s="5"/>
      <c r="V1" s="5"/>
      <c r="W1" s="5"/>
      <c r="X1" s="6"/>
    </row>
    <row r="2" spans="1:25" ht="18.75" x14ac:dyDescent="0.25">
      <c r="A2" s="5"/>
      <c r="B2" s="8" t="s">
        <v>0</v>
      </c>
      <c r="I2" s="171">
        <v>2026</v>
      </c>
      <c r="J2" s="172"/>
      <c r="K2" s="172"/>
      <c r="L2" s="172"/>
      <c r="M2" s="172"/>
      <c r="N2" s="172"/>
      <c r="O2" s="172"/>
      <c r="P2" s="172"/>
      <c r="Q2" s="172"/>
      <c r="R2" s="172"/>
      <c r="S2" s="172"/>
      <c r="T2" s="172"/>
      <c r="U2" s="172"/>
      <c r="V2" s="172"/>
      <c r="W2" s="172"/>
      <c r="X2" s="173"/>
    </row>
    <row r="3" spans="1:25" ht="31.5" x14ac:dyDescent="0.25">
      <c r="A3" s="5"/>
      <c r="B3" s="9" t="s">
        <v>1</v>
      </c>
      <c r="C3" s="9" t="s">
        <v>2</v>
      </c>
      <c r="D3" s="9" t="s">
        <v>3</v>
      </c>
      <c r="E3" s="9" t="s">
        <v>4</v>
      </c>
      <c r="F3" s="9" t="s">
        <v>5</v>
      </c>
      <c r="G3" s="9" t="s">
        <v>6</v>
      </c>
      <c r="H3" s="9"/>
      <c r="I3" s="29" t="s">
        <v>7</v>
      </c>
      <c r="J3" s="29" t="s">
        <v>8</v>
      </c>
      <c r="K3" s="29" t="s">
        <v>9</v>
      </c>
      <c r="L3" s="9" t="s">
        <v>10</v>
      </c>
      <c r="M3" s="29" t="s">
        <v>11</v>
      </c>
      <c r="N3" s="29" t="s">
        <v>12</v>
      </c>
      <c r="O3" s="29" t="s">
        <v>13</v>
      </c>
      <c r="P3" s="9" t="s">
        <v>14</v>
      </c>
      <c r="Q3" s="29" t="s">
        <v>15</v>
      </c>
      <c r="R3" s="29" t="s">
        <v>16</v>
      </c>
      <c r="S3" s="29" t="s">
        <v>17</v>
      </c>
      <c r="T3" s="9" t="s">
        <v>18</v>
      </c>
      <c r="U3" s="29" t="s">
        <v>19</v>
      </c>
      <c r="V3" s="29" t="s">
        <v>20</v>
      </c>
      <c r="W3" s="29" t="s">
        <v>21</v>
      </c>
      <c r="X3" s="9" t="s">
        <v>22</v>
      </c>
    </row>
    <row r="4" spans="1:25" ht="18.75" customHeight="1" x14ac:dyDescent="0.25">
      <c r="B4" s="194" t="s">
        <v>23</v>
      </c>
      <c r="C4" s="178" t="s">
        <v>24</v>
      </c>
      <c r="D4" s="164" t="s">
        <v>25</v>
      </c>
      <c r="E4" s="180">
        <f>SUM(L4,P4,T4,X4)</f>
        <v>0</v>
      </c>
      <c r="F4" s="126">
        <v>0</v>
      </c>
      <c r="G4" s="181">
        <f>SUM(L6,P6,T6,X6)</f>
        <v>1</v>
      </c>
      <c r="H4" s="11" t="s">
        <v>26</v>
      </c>
      <c r="I4" s="12">
        <v>0</v>
      </c>
      <c r="J4" s="12">
        <v>0</v>
      </c>
      <c r="K4" s="12">
        <v>0</v>
      </c>
      <c r="L4" s="13">
        <f>SUM(I4:K4)</f>
        <v>0</v>
      </c>
      <c r="M4" s="12">
        <v>0</v>
      </c>
      <c r="N4" s="12">
        <v>0</v>
      </c>
      <c r="O4" s="12">
        <v>0</v>
      </c>
      <c r="P4" s="13">
        <f>SUM(M4:O4)</f>
        <v>0</v>
      </c>
      <c r="Q4" s="14">
        <v>0</v>
      </c>
      <c r="R4" s="14">
        <v>0</v>
      </c>
      <c r="S4" s="14">
        <v>0</v>
      </c>
      <c r="T4" s="13">
        <f>SUM(Q4:S4)</f>
        <v>0</v>
      </c>
      <c r="U4" s="14">
        <v>0</v>
      </c>
      <c r="V4" s="14">
        <v>0</v>
      </c>
      <c r="W4" s="14">
        <v>0</v>
      </c>
      <c r="X4" s="13">
        <f>SUM(U4:W4)</f>
        <v>0</v>
      </c>
    </row>
    <row r="5" spans="1:25" ht="18.75" customHeight="1" x14ac:dyDescent="0.25">
      <c r="B5" s="194"/>
      <c r="C5" s="178"/>
      <c r="D5" s="164"/>
      <c r="E5" s="180"/>
      <c r="F5" s="126"/>
      <c r="G5" s="181"/>
      <c r="H5" s="11" t="s">
        <v>27</v>
      </c>
      <c r="I5" s="12">
        <v>0</v>
      </c>
      <c r="J5" s="12">
        <v>0</v>
      </c>
      <c r="K5" s="12">
        <v>0</v>
      </c>
      <c r="L5" s="13">
        <f t="shared" ref="L5:L6" si="0">SUM(I5:K5)</f>
        <v>0</v>
      </c>
      <c r="M5" s="12">
        <v>0</v>
      </c>
      <c r="N5" s="12">
        <v>0</v>
      </c>
      <c r="O5" s="12">
        <v>0</v>
      </c>
      <c r="P5" s="13">
        <f t="shared" ref="P5:P6" si="1">SUM(M5:O5)</f>
        <v>0</v>
      </c>
      <c r="Q5" s="14">
        <v>0</v>
      </c>
      <c r="R5" s="14">
        <v>0</v>
      </c>
      <c r="S5" s="14">
        <v>0</v>
      </c>
      <c r="T5" s="13">
        <f t="shared" ref="T5:T6" si="2">SUM(Q5:S5)</f>
        <v>0</v>
      </c>
      <c r="U5" s="14">
        <v>0</v>
      </c>
      <c r="V5" s="14">
        <v>0</v>
      </c>
      <c r="W5" s="14">
        <v>0</v>
      </c>
      <c r="X5" s="13">
        <f t="shared" ref="X5:X6" si="3">SUM(U5:W5)</f>
        <v>0</v>
      </c>
    </row>
    <row r="6" spans="1:25" ht="18.75" customHeight="1" x14ac:dyDescent="0.25">
      <c r="B6" s="194"/>
      <c r="C6" s="178"/>
      <c r="D6" s="164"/>
      <c r="E6" s="180"/>
      <c r="F6" s="126"/>
      <c r="G6" s="181"/>
      <c r="H6" s="11" t="s">
        <v>28</v>
      </c>
      <c r="I6" s="83">
        <v>0</v>
      </c>
      <c r="J6" s="83">
        <v>0</v>
      </c>
      <c r="K6" s="83">
        <v>0</v>
      </c>
      <c r="L6" s="94">
        <f t="shared" si="0"/>
        <v>0</v>
      </c>
      <c r="M6" s="83">
        <v>0</v>
      </c>
      <c r="N6" s="83">
        <v>0</v>
      </c>
      <c r="O6" s="110">
        <v>0</v>
      </c>
      <c r="P6" s="94">
        <f t="shared" si="1"/>
        <v>0</v>
      </c>
      <c r="Q6" s="111">
        <v>1</v>
      </c>
      <c r="R6" s="83">
        <v>0</v>
      </c>
      <c r="S6" s="83">
        <v>0</v>
      </c>
      <c r="T6" s="122">
        <f t="shared" si="2"/>
        <v>1</v>
      </c>
      <c r="U6" s="83">
        <v>0</v>
      </c>
      <c r="V6" s="14"/>
      <c r="W6" s="14"/>
      <c r="X6" s="13">
        <f t="shared" si="3"/>
        <v>0</v>
      </c>
    </row>
    <row r="7" spans="1:25" ht="18.75" customHeight="1" x14ac:dyDescent="0.25">
      <c r="B7" s="194"/>
      <c r="C7" s="129" t="s">
        <v>29</v>
      </c>
      <c r="D7" s="130" t="s">
        <v>25</v>
      </c>
      <c r="E7" s="165">
        <v>0</v>
      </c>
      <c r="F7" s="182">
        <v>0</v>
      </c>
      <c r="G7" s="184">
        <v>1</v>
      </c>
      <c r="H7" s="118" t="s">
        <v>26</v>
      </c>
      <c r="I7" s="15">
        <v>0</v>
      </c>
      <c r="J7" s="15">
        <v>0</v>
      </c>
      <c r="K7" s="15">
        <v>0</v>
      </c>
      <c r="L7" s="18">
        <v>0</v>
      </c>
      <c r="M7" s="15">
        <v>0</v>
      </c>
      <c r="N7" s="15">
        <v>0</v>
      </c>
      <c r="O7" s="15">
        <v>0</v>
      </c>
      <c r="P7" s="18">
        <v>0</v>
      </c>
      <c r="Q7" s="15">
        <v>0</v>
      </c>
      <c r="R7" s="15">
        <v>0</v>
      </c>
      <c r="S7" s="15">
        <v>0</v>
      </c>
      <c r="T7" s="18">
        <v>0</v>
      </c>
      <c r="U7" s="15">
        <v>0</v>
      </c>
      <c r="V7" s="15">
        <v>0</v>
      </c>
      <c r="W7" s="15">
        <v>0</v>
      </c>
      <c r="X7" s="18">
        <v>0</v>
      </c>
    </row>
    <row r="8" spans="1:25" ht="18.75" customHeight="1" x14ac:dyDescent="0.25">
      <c r="B8" s="194"/>
      <c r="C8" s="129"/>
      <c r="D8" s="130"/>
      <c r="E8" s="166"/>
      <c r="F8" s="182"/>
      <c r="G8" s="184"/>
      <c r="H8" s="118" t="s">
        <v>27</v>
      </c>
      <c r="I8" s="15">
        <v>0</v>
      </c>
      <c r="J8" s="15">
        <v>0</v>
      </c>
      <c r="K8" s="15">
        <v>0</v>
      </c>
      <c r="L8" s="33">
        <v>0</v>
      </c>
      <c r="M8" s="15">
        <v>0</v>
      </c>
      <c r="N8" s="15">
        <v>0</v>
      </c>
      <c r="O8" s="15">
        <v>0</v>
      </c>
      <c r="P8" s="33">
        <v>0</v>
      </c>
      <c r="Q8" s="15">
        <v>0</v>
      </c>
      <c r="R8" s="15">
        <v>0</v>
      </c>
      <c r="S8" s="15">
        <v>0</v>
      </c>
      <c r="T8" s="15">
        <v>0</v>
      </c>
      <c r="U8" s="15">
        <v>0</v>
      </c>
      <c r="V8" s="15">
        <v>0</v>
      </c>
      <c r="W8" s="15">
        <v>0</v>
      </c>
      <c r="X8" s="15">
        <v>0</v>
      </c>
    </row>
    <row r="9" spans="1:25" ht="18.75" customHeight="1" x14ac:dyDescent="0.25">
      <c r="B9" s="194"/>
      <c r="C9" s="129"/>
      <c r="D9" s="130"/>
      <c r="E9" s="167"/>
      <c r="F9" s="182"/>
      <c r="G9" s="184"/>
      <c r="H9" s="118" t="s">
        <v>28</v>
      </c>
      <c r="I9" s="82">
        <v>0</v>
      </c>
      <c r="J9" s="82">
        <v>0</v>
      </c>
      <c r="K9" s="82">
        <v>0</v>
      </c>
      <c r="L9" s="94">
        <v>0</v>
      </c>
      <c r="M9" s="82">
        <v>0</v>
      </c>
      <c r="N9" s="82">
        <v>0</v>
      </c>
      <c r="O9" s="82">
        <v>0</v>
      </c>
      <c r="P9" s="94">
        <v>0</v>
      </c>
      <c r="Q9" s="112">
        <v>1.089</v>
      </c>
      <c r="R9" s="121">
        <v>1</v>
      </c>
      <c r="S9" s="111">
        <v>1</v>
      </c>
      <c r="T9" s="122">
        <v>1</v>
      </c>
      <c r="U9" s="111">
        <v>1</v>
      </c>
      <c r="V9" s="45"/>
      <c r="W9" s="17"/>
      <c r="X9" s="16"/>
    </row>
    <row r="10" spans="1:25" ht="18.75" customHeight="1" x14ac:dyDescent="0.25">
      <c r="B10" s="194"/>
      <c r="C10" s="178" t="s">
        <v>30</v>
      </c>
      <c r="D10" s="164" t="s">
        <v>25</v>
      </c>
      <c r="E10" s="135">
        <f>SUM(L10,P10,T10,X10)</f>
        <v>0</v>
      </c>
      <c r="F10" s="126">
        <f>SUM(L11,P11,T11,X11)</f>
        <v>0</v>
      </c>
      <c r="G10" s="180">
        <f>SUM(L12,P12,T12,X12)</f>
        <v>0</v>
      </c>
      <c r="H10" s="11" t="s">
        <v>26</v>
      </c>
      <c r="I10" s="12">
        <v>0</v>
      </c>
      <c r="J10" s="12">
        <v>0</v>
      </c>
      <c r="K10" s="12">
        <v>0</v>
      </c>
      <c r="L10" s="13">
        <f t="shared" ref="L10:L12" si="4">SUM(I10:K10)</f>
        <v>0</v>
      </c>
      <c r="M10" s="12">
        <v>0</v>
      </c>
      <c r="N10" s="12">
        <v>0</v>
      </c>
      <c r="O10" s="12">
        <v>0</v>
      </c>
      <c r="P10" s="13">
        <f t="shared" ref="P10:P12" si="5">SUM(M10:O10)</f>
        <v>0</v>
      </c>
      <c r="Q10" s="14">
        <v>0</v>
      </c>
      <c r="R10" s="14">
        <v>0</v>
      </c>
      <c r="S10" s="14">
        <v>0</v>
      </c>
      <c r="T10" s="13">
        <f t="shared" ref="T10:T12" si="6">SUM(Q10:S10)</f>
        <v>0</v>
      </c>
      <c r="U10" s="14">
        <v>0</v>
      </c>
      <c r="V10" s="14">
        <v>0</v>
      </c>
      <c r="W10" s="14">
        <v>0</v>
      </c>
      <c r="X10" s="13">
        <f t="shared" ref="X10:X12" si="7">SUM(U10:W10)</f>
        <v>0</v>
      </c>
    </row>
    <row r="11" spans="1:25" ht="18.75" customHeight="1" x14ac:dyDescent="0.25">
      <c r="B11" s="194"/>
      <c r="C11" s="178"/>
      <c r="D11" s="164"/>
      <c r="E11" s="135"/>
      <c r="F11" s="126"/>
      <c r="G11" s="180"/>
      <c r="H11" s="11" t="s">
        <v>27</v>
      </c>
      <c r="I11" s="12">
        <v>0</v>
      </c>
      <c r="J11" s="12">
        <v>0</v>
      </c>
      <c r="K11" s="12">
        <v>0</v>
      </c>
      <c r="L11" s="13">
        <f t="shared" si="4"/>
        <v>0</v>
      </c>
      <c r="M11" s="12">
        <v>0</v>
      </c>
      <c r="N11" s="12">
        <v>0</v>
      </c>
      <c r="O11" s="12">
        <v>0</v>
      </c>
      <c r="P11" s="13">
        <f t="shared" si="5"/>
        <v>0</v>
      </c>
      <c r="Q11" s="14">
        <v>0</v>
      </c>
      <c r="R11" s="14">
        <v>0</v>
      </c>
      <c r="S11" s="14">
        <v>0</v>
      </c>
      <c r="T11" s="13">
        <f t="shared" si="6"/>
        <v>0</v>
      </c>
      <c r="U11" s="14">
        <v>0</v>
      </c>
      <c r="V11" s="14">
        <v>0</v>
      </c>
      <c r="W11" s="14">
        <v>0</v>
      </c>
      <c r="X11" s="13">
        <f t="shared" si="7"/>
        <v>0</v>
      </c>
    </row>
    <row r="12" spans="1:25" ht="18.75" customHeight="1" x14ac:dyDescent="0.25">
      <c r="B12" s="194"/>
      <c r="C12" s="178"/>
      <c r="D12" s="164"/>
      <c r="E12" s="135"/>
      <c r="F12" s="126"/>
      <c r="G12" s="180"/>
      <c r="H12" s="11" t="s">
        <v>28</v>
      </c>
      <c r="I12" s="83">
        <v>0</v>
      </c>
      <c r="J12" s="83">
        <v>0</v>
      </c>
      <c r="K12" s="83">
        <v>0</v>
      </c>
      <c r="L12" s="94">
        <f t="shared" si="4"/>
        <v>0</v>
      </c>
      <c r="M12" s="83">
        <v>0</v>
      </c>
      <c r="N12" s="83">
        <v>0</v>
      </c>
      <c r="O12" s="83">
        <v>0</v>
      </c>
      <c r="P12" s="94">
        <f t="shared" si="5"/>
        <v>0</v>
      </c>
      <c r="Q12" s="83">
        <v>0</v>
      </c>
      <c r="R12" s="83">
        <v>0</v>
      </c>
      <c r="S12" s="83">
        <v>0</v>
      </c>
      <c r="T12" s="94">
        <f t="shared" si="6"/>
        <v>0</v>
      </c>
      <c r="U12" s="83">
        <v>0</v>
      </c>
      <c r="V12" s="14"/>
      <c r="W12" s="14"/>
      <c r="X12" s="13">
        <f t="shared" si="7"/>
        <v>0</v>
      </c>
    </row>
    <row r="13" spans="1:25" ht="18.75" customHeight="1" x14ac:dyDescent="0.25">
      <c r="B13" s="194"/>
      <c r="C13" s="129" t="s">
        <v>31</v>
      </c>
      <c r="D13" s="130" t="s">
        <v>25</v>
      </c>
      <c r="E13" s="179">
        <v>1</v>
      </c>
      <c r="F13" s="143">
        <v>0.9</v>
      </c>
      <c r="G13" s="179">
        <v>0.9</v>
      </c>
      <c r="H13" s="118" t="s">
        <v>26</v>
      </c>
      <c r="I13" s="15" t="s">
        <v>32</v>
      </c>
      <c r="J13" s="15" t="s">
        <v>32</v>
      </c>
      <c r="K13" s="15" t="s">
        <v>32</v>
      </c>
      <c r="L13" s="16" t="s">
        <v>32</v>
      </c>
      <c r="M13" s="38" t="s">
        <v>32</v>
      </c>
      <c r="N13" s="15" t="s">
        <v>32</v>
      </c>
      <c r="O13" s="15" t="s">
        <v>32</v>
      </c>
      <c r="P13" s="16" t="s">
        <v>32</v>
      </c>
      <c r="Q13" s="17" t="s">
        <v>32</v>
      </c>
      <c r="R13" s="17" t="s">
        <v>32</v>
      </c>
      <c r="S13" s="17" t="s">
        <v>32</v>
      </c>
      <c r="T13" s="16" t="s">
        <v>32</v>
      </c>
      <c r="U13" s="38" t="s">
        <v>32</v>
      </c>
      <c r="V13" s="38">
        <v>1</v>
      </c>
      <c r="W13" s="38">
        <v>1</v>
      </c>
      <c r="X13" s="46">
        <v>1</v>
      </c>
    </row>
    <row r="14" spans="1:25" ht="18.75" customHeight="1" x14ac:dyDescent="0.25">
      <c r="B14" s="194"/>
      <c r="C14" s="129"/>
      <c r="D14" s="130"/>
      <c r="E14" s="179"/>
      <c r="F14" s="143"/>
      <c r="G14" s="179"/>
      <c r="H14" s="118" t="s">
        <v>27</v>
      </c>
      <c r="I14" s="38">
        <v>0.9</v>
      </c>
      <c r="J14" s="38">
        <v>0.9</v>
      </c>
      <c r="K14" s="38">
        <v>0.9</v>
      </c>
      <c r="L14" s="89">
        <v>0.9</v>
      </c>
      <c r="M14" s="38">
        <v>0.9</v>
      </c>
      <c r="N14" s="38">
        <v>0.9</v>
      </c>
      <c r="O14" s="38">
        <v>0.9</v>
      </c>
      <c r="P14" s="46">
        <v>0.9</v>
      </c>
      <c r="Q14" s="38">
        <v>0.9</v>
      </c>
      <c r="R14" s="38">
        <v>0.9</v>
      </c>
      <c r="S14" s="38">
        <v>0.9</v>
      </c>
      <c r="T14" s="46">
        <v>0.9</v>
      </c>
      <c r="U14" s="38">
        <v>0.9</v>
      </c>
      <c r="V14" s="38">
        <v>0.9</v>
      </c>
      <c r="W14" s="38">
        <v>0.9</v>
      </c>
      <c r="X14" s="46">
        <v>0.9</v>
      </c>
    </row>
    <row r="15" spans="1:25" ht="18.75" customHeight="1" x14ac:dyDescent="0.25">
      <c r="B15" s="194"/>
      <c r="C15" s="129"/>
      <c r="D15" s="130"/>
      <c r="E15" s="179"/>
      <c r="F15" s="143"/>
      <c r="G15" s="179"/>
      <c r="H15" s="118" t="s">
        <v>28</v>
      </c>
      <c r="I15" s="73">
        <v>0.9</v>
      </c>
      <c r="J15" s="73" t="s">
        <v>32</v>
      </c>
      <c r="K15" s="73" t="s">
        <v>33</v>
      </c>
      <c r="L15" s="84">
        <v>0.9</v>
      </c>
      <c r="M15" s="73">
        <v>0.9</v>
      </c>
      <c r="N15" s="73">
        <v>0.9</v>
      </c>
      <c r="O15" s="73" t="s">
        <v>32</v>
      </c>
      <c r="P15" s="84">
        <v>0.9</v>
      </c>
      <c r="Q15" s="73" t="s">
        <v>32</v>
      </c>
      <c r="R15" s="73" t="s">
        <v>32</v>
      </c>
      <c r="S15" s="73" t="s">
        <v>32</v>
      </c>
      <c r="T15" s="84" t="s">
        <v>32</v>
      </c>
      <c r="U15" s="73" t="s">
        <v>32</v>
      </c>
      <c r="V15" s="48"/>
      <c r="W15" s="17"/>
      <c r="X15" s="16"/>
    </row>
    <row r="16" spans="1:25" ht="18.75" customHeight="1" x14ac:dyDescent="0.25">
      <c r="B16" s="194"/>
      <c r="C16" s="127" t="s">
        <v>34</v>
      </c>
      <c r="D16" s="169" t="s">
        <v>25</v>
      </c>
      <c r="E16" s="126" t="s">
        <v>35</v>
      </c>
      <c r="F16" s="155">
        <v>0.9</v>
      </c>
      <c r="G16" s="152">
        <v>1</v>
      </c>
      <c r="H16" s="117" t="s">
        <v>26</v>
      </c>
      <c r="I16" s="19" t="s">
        <v>32</v>
      </c>
      <c r="J16" s="19" t="s">
        <v>32</v>
      </c>
      <c r="K16" s="19" t="s">
        <v>32</v>
      </c>
      <c r="L16" s="19" t="s">
        <v>32</v>
      </c>
      <c r="M16" s="19" t="s">
        <v>32</v>
      </c>
      <c r="N16" s="19" t="s">
        <v>32</v>
      </c>
      <c r="O16" s="19" t="s">
        <v>32</v>
      </c>
      <c r="P16" s="19" t="s">
        <v>32</v>
      </c>
      <c r="Q16" s="19" t="s">
        <v>32</v>
      </c>
      <c r="R16" s="19" t="s">
        <v>32</v>
      </c>
      <c r="S16" s="19" t="s">
        <v>32</v>
      </c>
      <c r="T16" s="19" t="s">
        <v>32</v>
      </c>
      <c r="U16" s="19" t="s">
        <v>32</v>
      </c>
      <c r="V16" s="19" t="s">
        <v>32</v>
      </c>
      <c r="W16" s="19" t="s">
        <v>32</v>
      </c>
      <c r="X16" s="19" t="s">
        <v>32</v>
      </c>
      <c r="Y16" s="52" t="s">
        <v>36</v>
      </c>
    </row>
    <row r="17" spans="2:25" ht="18.75" customHeight="1" x14ac:dyDescent="0.25">
      <c r="B17" s="194"/>
      <c r="C17" s="128"/>
      <c r="D17" s="169"/>
      <c r="E17" s="126"/>
      <c r="F17" s="155"/>
      <c r="G17" s="152"/>
      <c r="H17" s="117" t="s">
        <v>27</v>
      </c>
      <c r="I17" s="21">
        <v>0.9</v>
      </c>
      <c r="J17" s="21">
        <v>0.9</v>
      </c>
      <c r="K17" s="21">
        <v>0.9</v>
      </c>
      <c r="L17" s="23">
        <v>0.9</v>
      </c>
      <c r="M17" s="21">
        <v>0.9</v>
      </c>
      <c r="N17" s="21">
        <v>0.9</v>
      </c>
      <c r="O17" s="21">
        <v>0.9</v>
      </c>
      <c r="P17" s="23">
        <v>0.9</v>
      </c>
      <c r="Q17" s="21">
        <v>0.9</v>
      </c>
      <c r="R17" s="21">
        <v>0.9</v>
      </c>
      <c r="S17" s="21">
        <v>0.9</v>
      </c>
      <c r="T17" s="23">
        <v>0.9</v>
      </c>
      <c r="U17" s="21">
        <v>0.9</v>
      </c>
      <c r="V17" s="21">
        <v>0.9</v>
      </c>
      <c r="W17" s="21">
        <v>0.9</v>
      </c>
      <c r="X17" s="23">
        <v>0.9</v>
      </c>
    </row>
    <row r="18" spans="2:25" ht="18.75" customHeight="1" x14ac:dyDescent="0.25">
      <c r="B18" s="194"/>
      <c r="C18" s="128"/>
      <c r="D18" s="169"/>
      <c r="E18" s="126"/>
      <c r="F18" s="183"/>
      <c r="G18" s="153"/>
      <c r="H18" s="117" t="s">
        <v>28</v>
      </c>
      <c r="I18" s="81">
        <v>0.92300000000000004</v>
      </c>
      <c r="J18" s="73">
        <v>0.9</v>
      </c>
      <c r="K18" s="81">
        <v>0.92300000000000004</v>
      </c>
      <c r="L18" s="90">
        <v>0.92</v>
      </c>
      <c r="M18" s="81">
        <v>1</v>
      </c>
      <c r="N18" s="81">
        <v>1</v>
      </c>
      <c r="O18" s="100">
        <v>84.6</v>
      </c>
      <c r="P18" s="90">
        <v>0.95</v>
      </c>
      <c r="Q18" s="81">
        <v>1</v>
      </c>
      <c r="R18" s="113">
        <v>1</v>
      </c>
      <c r="S18" s="113">
        <v>1</v>
      </c>
      <c r="T18" s="123">
        <v>1</v>
      </c>
      <c r="U18" s="113">
        <v>1</v>
      </c>
      <c r="V18" s="51"/>
      <c r="W18" s="51"/>
      <c r="X18" s="43"/>
    </row>
    <row r="19" spans="2:25" ht="18.75" customHeight="1" x14ac:dyDescent="0.25">
      <c r="B19" s="194" t="s">
        <v>37</v>
      </c>
      <c r="C19" s="129" t="s">
        <v>38</v>
      </c>
      <c r="D19" s="130" t="s">
        <v>39</v>
      </c>
      <c r="E19" s="124">
        <v>83</v>
      </c>
      <c r="F19" s="141">
        <v>83</v>
      </c>
      <c r="G19" s="124">
        <v>84.4</v>
      </c>
      <c r="H19" s="118" t="s">
        <v>26</v>
      </c>
      <c r="I19" s="53">
        <v>80.3</v>
      </c>
      <c r="J19" s="53">
        <v>89.2</v>
      </c>
      <c r="K19" s="53">
        <v>81</v>
      </c>
      <c r="L19" s="54">
        <v>83</v>
      </c>
      <c r="M19" s="53">
        <v>88.6</v>
      </c>
      <c r="N19" s="53">
        <v>86</v>
      </c>
      <c r="O19" s="53">
        <v>82.7</v>
      </c>
      <c r="P19" s="54">
        <v>86.3</v>
      </c>
      <c r="Q19" s="53">
        <v>82</v>
      </c>
      <c r="R19" s="53">
        <v>79.400000000000006</v>
      </c>
      <c r="S19" s="53">
        <v>83.2</v>
      </c>
      <c r="T19" s="54">
        <v>81.599999999999994</v>
      </c>
      <c r="U19" s="53">
        <v>79.099999999999994</v>
      </c>
      <c r="V19" s="53">
        <v>83.6</v>
      </c>
      <c r="W19" s="53">
        <v>72.8</v>
      </c>
      <c r="X19" s="54">
        <v>80.099999999999994</v>
      </c>
    </row>
    <row r="20" spans="2:25" ht="18.75" customHeight="1" x14ac:dyDescent="0.25">
      <c r="B20" s="194"/>
      <c r="C20" s="129"/>
      <c r="D20" s="130"/>
      <c r="E20" s="125"/>
      <c r="F20" s="142"/>
      <c r="G20" s="125"/>
      <c r="H20" s="118" t="s">
        <v>27</v>
      </c>
      <c r="I20" s="53">
        <v>83</v>
      </c>
      <c r="J20" s="53">
        <v>83</v>
      </c>
      <c r="K20" s="53">
        <v>83</v>
      </c>
      <c r="L20" s="54">
        <v>83</v>
      </c>
      <c r="M20" s="53">
        <v>83</v>
      </c>
      <c r="N20" s="53">
        <v>83</v>
      </c>
      <c r="O20" s="53">
        <v>83</v>
      </c>
      <c r="P20" s="54">
        <v>83</v>
      </c>
      <c r="Q20" s="53">
        <v>83</v>
      </c>
      <c r="R20" s="53">
        <v>83</v>
      </c>
      <c r="S20" s="53">
        <v>83</v>
      </c>
      <c r="T20" s="54">
        <v>83</v>
      </c>
      <c r="U20" s="53">
        <v>83</v>
      </c>
      <c r="V20" s="53">
        <v>83</v>
      </c>
      <c r="W20" s="53">
        <v>83</v>
      </c>
      <c r="X20" s="54">
        <v>83</v>
      </c>
    </row>
    <row r="21" spans="2:25" ht="18.75" customHeight="1" x14ac:dyDescent="0.25">
      <c r="B21" s="194"/>
      <c r="C21" s="129"/>
      <c r="D21" s="130"/>
      <c r="E21" s="125"/>
      <c r="F21" s="142"/>
      <c r="G21" s="125"/>
      <c r="H21" s="118" t="s">
        <v>28</v>
      </c>
      <c r="I21" s="72">
        <v>79</v>
      </c>
      <c r="J21" s="80">
        <v>84</v>
      </c>
      <c r="K21" s="80">
        <v>87</v>
      </c>
      <c r="L21" s="86">
        <v>85</v>
      </c>
      <c r="M21" s="72">
        <v>79</v>
      </c>
      <c r="N21" s="101">
        <v>91</v>
      </c>
      <c r="O21" s="72">
        <v>75.8</v>
      </c>
      <c r="P21" s="86">
        <v>84.4</v>
      </c>
      <c r="Q21" s="101">
        <v>84.7</v>
      </c>
      <c r="R21" s="72">
        <v>82.9</v>
      </c>
      <c r="S21" s="101">
        <v>91.3</v>
      </c>
      <c r="T21" s="86">
        <v>86.2</v>
      </c>
      <c r="U21" s="55"/>
      <c r="V21" s="55"/>
      <c r="W21" s="55"/>
      <c r="X21" s="44"/>
    </row>
    <row r="22" spans="2:25" ht="19.5" customHeight="1" x14ac:dyDescent="0.25">
      <c r="B22" s="194"/>
      <c r="C22" s="127" t="s">
        <v>40</v>
      </c>
      <c r="D22" s="168" t="s">
        <v>41</v>
      </c>
      <c r="E22" s="170" t="s">
        <v>35</v>
      </c>
      <c r="F22" s="126">
        <v>55</v>
      </c>
      <c r="G22" s="135">
        <f>SUM(L24,P24,T24,X24)</f>
        <v>79</v>
      </c>
      <c r="H22" s="117" t="s">
        <v>26</v>
      </c>
      <c r="I22" s="24" t="s">
        <v>32</v>
      </c>
      <c r="J22" s="24" t="s">
        <v>32</v>
      </c>
      <c r="K22" s="24" t="s">
        <v>32</v>
      </c>
      <c r="L22" s="24" t="s">
        <v>32</v>
      </c>
      <c r="M22" s="24" t="s">
        <v>32</v>
      </c>
      <c r="N22" s="24" t="s">
        <v>32</v>
      </c>
      <c r="O22" s="24" t="s">
        <v>32</v>
      </c>
      <c r="P22" s="24" t="s">
        <v>32</v>
      </c>
      <c r="Q22" s="24" t="s">
        <v>32</v>
      </c>
      <c r="R22" s="24" t="s">
        <v>32</v>
      </c>
      <c r="S22" s="24" t="s">
        <v>32</v>
      </c>
      <c r="T22" s="24" t="s">
        <v>32</v>
      </c>
      <c r="U22" s="24" t="s">
        <v>32</v>
      </c>
      <c r="V22" s="24" t="s">
        <v>32</v>
      </c>
      <c r="W22" s="24" t="s">
        <v>32</v>
      </c>
      <c r="X22" s="24" t="s">
        <v>32</v>
      </c>
      <c r="Y22" s="52" t="s">
        <v>36</v>
      </c>
    </row>
    <row r="23" spans="2:25" ht="18.75" customHeight="1" x14ac:dyDescent="0.25">
      <c r="B23" s="194"/>
      <c r="C23" s="128"/>
      <c r="D23" s="169"/>
      <c r="E23" s="170"/>
      <c r="F23" s="126"/>
      <c r="G23" s="135"/>
      <c r="H23" s="117" t="s">
        <v>27</v>
      </c>
      <c r="I23" s="12">
        <v>0</v>
      </c>
      <c r="J23" s="12">
        <v>5</v>
      </c>
      <c r="K23" s="12">
        <v>5</v>
      </c>
      <c r="L23" s="13">
        <v>10</v>
      </c>
      <c r="M23" s="12">
        <v>5</v>
      </c>
      <c r="N23" s="12">
        <v>5</v>
      </c>
      <c r="O23" s="12">
        <v>5</v>
      </c>
      <c r="P23" s="13">
        <v>15</v>
      </c>
      <c r="Q23" s="14">
        <v>5</v>
      </c>
      <c r="R23" s="14">
        <v>5</v>
      </c>
      <c r="S23" s="14">
        <v>5</v>
      </c>
      <c r="T23" s="13">
        <v>15</v>
      </c>
      <c r="U23" s="14">
        <v>5</v>
      </c>
      <c r="V23" s="14">
        <v>5</v>
      </c>
      <c r="W23" s="14">
        <v>5</v>
      </c>
      <c r="X23" s="13">
        <v>15</v>
      </c>
    </row>
    <row r="24" spans="2:25" ht="18.75" customHeight="1" x14ac:dyDescent="0.25">
      <c r="B24" s="194"/>
      <c r="C24" s="128"/>
      <c r="D24" s="169"/>
      <c r="E24" s="170"/>
      <c r="F24" s="126"/>
      <c r="G24" s="135"/>
      <c r="H24" s="117" t="s">
        <v>28</v>
      </c>
      <c r="I24" s="82">
        <v>2</v>
      </c>
      <c r="J24" s="80">
        <v>5</v>
      </c>
      <c r="K24" s="76">
        <v>3</v>
      </c>
      <c r="L24" s="95">
        <v>10</v>
      </c>
      <c r="M24" s="80">
        <v>24</v>
      </c>
      <c r="N24" s="76">
        <v>3</v>
      </c>
      <c r="O24" s="80">
        <v>19</v>
      </c>
      <c r="P24" s="95">
        <f>SUM(M24:O24)</f>
        <v>46</v>
      </c>
      <c r="Q24" s="80">
        <v>20</v>
      </c>
      <c r="R24" s="76">
        <v>2</v>
      </c>
      <c r="S24" s="76">
        <v>1</v>
      </c>
      <c r="T24" s="75">
        <f>SUM(Q24:S24)</f>
        <v>23</v>
      </c>
      <c r="U24" s="65"/>
      <c r="V24" s="65"/>
      <c r="W24" s="19"/>
      <c r="X24" s="75">
        <f>SUM(U24:W24)</f>
        <v>0</v>
      </c>
    </row>
    <row r="25" spans="2:25" ht="19.5" customHeight="1" x14ac:dyDescent="0.25">
      <c r="B25" s="194"/>
      <c r="C25" s="199" t="s">
        <v>42</v>
      </c>
      <c r="D25" s="200" t="s">
        <v>41</v>
      </c>
      <c r="E25" s="201" t="s">
        <v>35</v>
      </c>
      <c r="F25" s="202">
        <v>120</v>
      </c>
      <c r="G25" s="203">
        <f>SUM(L27,P27,T27,X27)</f>
        <v>48</v>
      </c>
      <c r="H25" s="118" t="s">
        <v>26</v>
      </c>
      <c r="I25" s="15" t="s">
        <v>32</v>
      </c>
      <c r="J25" s="15" t="s">
        <v>32</v>
      </c>
      <c r="K25" s="15" t="s">
        <v>32</v>
      </c>
      <c r="L25" s="15" t="s">
        <v>32</v>
      </c>
      <c r="M25" s="15" t="s">
        <v>32</v>
      </c>
      <c r="N25" s="15" t="s">
        <v>32</v>
      </c>
      <c r="O25" s="15" t="s">
        <v>32</v>
      </c>
      <c r="P25" s="15" t="s">
        <v>32</v>
      </c>
      <c r="Q25" s="15" t="s">
        <v>32</v>
      </c>
      <c r="R25" s="15" t="s">
        <v>32</v>
      </c>
      <c r="S25" s="15" t="s">
        <v>32</v>
      </c>
      <c r="T25" s="15" t="s">
        <v>32</v>
      </c>
      <c r="U25" s="15" t="s">
        <v>32</v>
      </c>
      <c r="V25" s="15" t="s">
        <v>32</v>
      </c>
      <c r="W25" s="15" t="s">
        <v>32</v>
      </c>
      <c r="X25" s="15" t="s">
        <v>32</v>
      </c>
      <c r="Y25" s="52" t="s">
        <v>36</v>
      </c>
    </row>
    <row r="26" spans="2:25" ht="18.75" customHeight="1" x14ac:dyDescent="0.25">
      <c r="B26" s="194"/>
      <c r="C26" s="129"/>
      <c r="D26" s="130"/>
      <c r="E26" s="201"/>
      <c r="F26" s="202"/>
      <c r="G26" s="204"/>
      <c r="H26" s="118" t="s">
        <v>27</v>
      </c>
      <c r="I26" s="15">
        <v>10</v>
      </c>
      <c r="J26" s="15">
        <v>10</v>
      </c>
      <c r="K26" s="15">
        <v>10</v>
      </c>
      <c r="L26" s="15">
        <v>30</v>
      </c>
      <c r="M26" s="15">
        <v>10</v>
      </c>
      <c r="N26" s="15">
        <v>10</v>
      </c>
      <c r="O26" s="15">
        <v>10</v>
      </c>
      <c r="P26" s="15">
        <v>30</v>
      </c>
      <c r="Q26" s="15">
        <v>10</v>
      </c>
      <c r="R26" s="15">
        <v>10</v>
      </c>
      <c r="S26" s="15">
        <v>10</v>
      </c>
      <c r="T26" s="15">
        <v>30</v>
      </c>
      <c r="U26" s="15">
        <v>10</v>
      </c>
      <c r="V26" s="15">
        <v>10</v>
      </c>
      <c r="W26" s="15">
        <v>10</v>
      </c>
      <c r="X26" s="15">
        <v>30</v>
      </c>
      <c r="Y26" s="7" t="s">
        <v>43</v>
      </c>
    </row>
    <row r="27" spans="2:25" ht="18.75" customHeight="1" x14ac:dyDescent="0.25">
      <c r="B27" s="194"/>
      <c r="C27" s="129"/>
      <c r="D27" s="130"/>
      <c r="E27" s="201"/>
      <c r="F27" s="202"/>
      <c r="G27" s="204"/>
      <c r="H27" s="118" t="s">
        <v>28</v>
      </c>
      <c r="I27" s="76">
        <v>0</v>
      </c>
      <c r="J27" s="76">
        <v>0</v>
      </c>
      <c r="K27" s="76">
        <v>3</v>
      </c>
      <c r="L27" s="96">
        <f>SUM(I27:K27)</f>
        <v>3</v>
      </c>
      <c r="M27" s="76">
        <v>4</v>
      </c>
      <c r="N27" s="76">
        <v>4</v>
      </c>
      <c r="O27" s="80">
        <v>23</v>
      </c>
      <c r="P27" s="95">
        <f>SUM(M27:O27)</f>
        <v>31</v>
      </c>
      <c r="Q27" s="76">
        <v>4</v>
      </c>
      <c r="R27" s="76">
        <v>3</v>
      </c>
      <c r="S27" s="76">
        <v>7</v>
      </c>
      <c r="T27" s="54">
        <f>SUM(Q27:S27)</f>
        <v>14</v>
      </c>
      <c r="U27" s="98"/>
      <c r="V27" s="98"/>
      <c r="W27" s="98"/>
      <c r="X27" s="54">
        <f>SUM(U27:W27)</f>
        <v>0</v>
      </c>
    </row>
    <row r="28" spans="2:25" ht="19.5" customHeight="1" x14ac:dyDescent="0.25">
      <c r="B28" s="194"/>
      <c r="C28" s="127" t="s">
        <v>44</v>
      </c>
      <c r="D28" s="168" t="s">
        <v>41</v>
      </c>
      <c r="E28" s="170" t="s">
        <v>35</v>
      </c>
      <c r="F28" s="146">
        <v>0.82</v>
      </c>
      <c r="G28" s="147">
        <f>U30</f>
        <v>0.86</v>
      </c>
      <c r="H28" s="117" t="s">
        <v>26</v>
      </c>
      <c r="I28" s="24" t="s">
        <v>32</v>
      </c>
      <c r="J28" s="24" t="s">
        <v>32</v>
      </c>
      <c r="K28" s="24" t="s">
        <v>32</v>
      </c>
      <c r="L28" s="24" t="s">
        <v>32</v>
      </c>
      <c r="M28" s="24" t="s">
        <v>32</v>
      </c>
      <c r="N28" s="24" t="s">
        <v>32</v>
      </c>
      <c r="O28" s="24" t="s">
        <v>32</v>
      </c>
      <c r="P28" s="24" t="s">
        <v>32</v>
      </c>
      <c r="Q28" s="24" t="s">
        <v>32</v>
      </c>
      <c r="R28" s="24" t="s">
        <v>32</v>
      </c>
      <c r="S28" s="24" t="s">
        <v>32</v>
      </c>
      <c r="T28" s="24" t="s">
        <v>32</v>
      </c>
      <c r="U28" s="24" t="s">
        <v>32</v>
      </c>
      <c r="V28" s="24" t="s">
        <v>32</v>
      </c>
      <c r="W28" s="24" t="s">
        <v>32</v>
      </c>
      <c r="X28" s="24" t="s">
        <v>32</v>
      </c>
      <c r="Y28" s="52" t="s">
        <v>36</v>
      </c>
    </row>
    <row r="29" spans="2:25" ht="18.75" customHeight="1" x14ac:dyDescent="0.25">
      <c r="B29" s="194"/>
      <c r="C29" s="128"/>
      <c r="D29" s="169"/>
      <c r="E29" s="170"/>
      <c r="F29" s="146"/>
      <c r="G29" s="147"/>
      <c r="H29" s="117" t="s">
        <v>27</v>
      </c>
      <c r="I29" s="24">
        <v>0.75</v>
      </c>
      <c r="J29" s="24">
        <v>0.75</v>
      </c>
      <c r="K29" s="24">
        <v>0.75</v>
      </c>
      <c r="L29" s="25">
        <v>0.75</v>
      </c>
      <c r="M29" s="24">
        <v>0.8</v>
      </c>
      <c r="N29" s="24">
        <v>0.8</v>
      </c>
      <c r="O29" s="24">
        <v>0.8</v>
      </c>
      <c r="P29" s="25">
        <v>0.8</v>
      </c>
      <c r="Q29" s="24">
        <v>0.82</v>
      </c>
      <c r="R29" s="24">
        <v>0.82</v>
      </c>
      <c r="S29" s="24">
        <v>0.82</v>
      </c>
      <c r="T29" s="25">
        <v>0.82</v>
      </c>
      <c r="U29" s="24">
        <v>0.85</v>
      </c>
      <c r="V29" s="24">
        <v>0.85</v>
      </c>
      <c r="W29" s="24">
        <v>0.85</v>
      </c>
      <c r="X29" s="25">
        <v>0.85</v>
      </c>
      <c r="Y29" s="7" t="s">
        <v>45</v>
      </c>
    </row>
    <row r="30" spans="2:25" ht="18.75" customHeight="1" x14ac:dyDescent="0.25">
      <c r="B30" s="194"/>
      <c r="C30" s="128"/>
      <c r="D30" s="169"/>
      <c r="E30" s="170"/>
      <c r="F30" s="146"/>
      <c r="G30" s="147"/>
      <c r="H30" s="117" t="s">
        <v>28</v>
      </c>
      <c r="I30" s="74">
        <v>0.72</v>
      </c>
      <c r="J30" s="73">
        <v>0.76</v>
      </c>
      <c r="K30" s="73">
        <v>0.8</v>
      </c>
      <c r="L30" s="84">
        <f>AVERAGE(I30:K30)</f>
        <v>0.76000000000000012</v>
      </c>
      <c r="M30" s="74">
        <v>0.75</v>
      </c>
      <c r="N30" s="73">
        <v>0.84</v>
      </c>
      <c r="O30" s="74">
        <v>0.73</v>
      </c>
      <c r="P30" s="91">
        <f>AVERAGE(M30:O30)</f>
        <v>0.77333333333333332</v>
      </c>
      <c r="Q30" s="73">
        <v>0.82</v>
      </c>
      <c r="R30" s="73">
        <v>0.85</v>
      </c>
      <c r="S30" s="73">
        <v>0.82</v>
      </c>
      <c r="T30" s="62">
        <f>AVERAGE(Q30:S30)</f>
        <v>0.83</v>
      </c>
      <c r="U30" s="73">
        <v>0.86</v>
      </c>
      <c r="V30" s="61"/>
      <c r="W30" s="19"/>
      <c r="X30" s="62">
        <f>AVERAGE(U30:W30)</f>
        <v>0.86</v>
      </c>
    </row>
    <row r="31" spans="2:25" ht="19.5" customHeight="1" x14ac:dyDescent="0.25">
      <c r="B31" s="194"/>
      <c r="C31" s="129" t="s">
        <v>46</v>
      </c>
      <c r="D31" s="130" t="s">
        <v>47</v>
      </c>
      <c r="E31" s="179">
        <v>0.82</v>
      </c>
      <c r="F31" s="143">
        <v>0.7</v>
      </c>
      <c r="G31" s="179">
        <v>0.83</v>
      </c>
      <c r="H31" s="118" t="s">
        <v>26</v>
      </c>
      <c r="I31" s="26" t="s">
        <v>32</v>
      </c>
      <c r="J31" s="38" t="s">
        <v>32</v>
      </c>
      <c r="K31" s="26">
        <v>0.81</v>
      </c>
      <c r="L31" s="27">
        <v>0.81</v>
      </c>
      <c r="M31" s="26" t="s">
        <v>32</v>
      </c>
      <c r="N31" s="26" t="s">
        <v>32</v>
      </c>
      <c r="O31" s="26" t="s">
        <v>32</v>
      </c>
      <c r="P31" s="27">
        <v>0.81</v>
      </c>
      <c r="Q31" s="26">
        <v>0.83</v>
      </c>
      <c r="R31" s="26" t="s">
        <v>32</v>
      </c>
      <c r="S31" s="26">
        <v>0.84</v>
      </c>
      <c r="T31" s="27">
        <v>0.83</v>
      </c>
      <c r="U31" s="26">
        <v>0.8</v>
      </c>
      <c r="V31" s="26">
        <v>0.84</v>
      </c>
      <c r="W31" s="26">
        <v>0.81</v>
      </c>
      <c r="X31" s="27">
        <v>0.82</v>
      </c>
    </row>
    <row r="32" spans="2:25" ht="18.75" customHeight="1" x14ac:dyDescent="0.25">
      <c r="B32" s="194"/>
      <c r="C32" s="129"/>
      <c r="D32" s="130"/>
      <c r="E32" s="179"/>
      <c r="F32" s="143"/>
      <c r="G32" s="179"/>
      <c r="H32" s="118" t="s">
        <v>27</v>
      </c>
      <c r="I32" s="26">
        <v>0.7</v>
      </c>
      <c r="J32" s="26">
        <v>0.7</v>
      </c>
      <c r="K32" s="26">
        <v>0.7</v>
      </c>
      <c r="L32" s="27">
        <v>0.7</v>
      </c>
      <c r="M32" s="26">
        <v>0.7</v>
      </c>
      <c r="N32" s="26">
        <v>0.7</v>
      </c>
      <c r="O32" s="26">
        <v>0.7</v>
      </c>
      <c r="P32" s="27">
        <v>0.7</v>
      </c>
      <c r="Q32" s="26">
        <v>0.7</v>
      </c>
      <c r="R32" s="26">
        <v>0.7</v>
      </c>
      <c r="S32" s="26">
        <v>0.7</v>
      </c>
      <c r="T32" s="27">
        <v>0.7</v>
      </c>
      <c r="U32" s="26">
        <v>0.7</v>
      </c>
      <c r="V32" s="26">
        <v>0.7</v>
      </c>
      <c r="W32" s="26">
        <v>0.7</v>
      </c>
      <c r="X32" s="27">
        <v>0.7</v>
      </c>
      <c r="Y32" s="7" t="s">
        <v>48</v>
      </c>
    </row>
    <row r="33" spans="2:25" ht="18.75" customHeight="1" x14ac:dyDescent="0.25">
      <c r="B33" s="194"/>
      <c r="C33" s="129"/>
      <c r="D33" s="130"/>
      <c r="E33" s="179"/>
      <c r="F33" s="143"/>
      <c r="G33" s="179"/>
      <c r="H33" s="118" t="s">
        <v>28</v>
      </c>
      <c r="I33" s="26" t="s">
        <v>49</v>
      </c>
      <c r="J33" s="15" t="s">
        <v>49</v>
      </c>
      <c r="K33" s="73">
        <v>0.83</v>
      </c>
      <c r="L33" s="84">
        <v>0.83</v>
      </c>
      <c r="M33" s="15" t="s">
        <v>49</v>
      </c>
      <c r="N33" s="15" t="s">
        <v>49</v>
      </c>
      <c r="O33" s="73">
        <v>0.81</v>
      </c>
      <c r="P33" s="84">
        <v>0.81</v>
      </c>
      <c r="Q33" s="15" t="s">
        <v>49</v>
      </c>
      <c r="R33" s="15" t="s">
        <v>49</v>
      </c>
      <c r="S33" s="84">
        <v>0.82</v>
      </c>
      <c r="T33" s="84">
        <v>0.82</v>
      </c>
      <c r="U33" s="48"/>
      <c r="V33" s="48"/>
      <c r="W33" s="15"/>
      <c r="X33" s="33"/>
    </row>
    <row r="34" spans="2:25" ht="18.75" customHeight="1" x14ac:dyDescent="0.25">
      <c r="B34" s="186" t="s">
        <v>50</v>
      </c>
      <c r="C34" s="128" t="s">
        <v>51</v>
      </c>
      <c r="D34" s="148" t="s">
        <v>52</v>
      </c>
      <c r="E34" s="152">
        <v>0.77</v>
      </c>
      <c r="F34" s="146">
        <v>0.85</v>
      </c>
      <c r="G34" s="156">
        <v>0.79</v>
      </c>
      <c r="H34" s="117" t="s">
        <v>26</v>
      </c>
      <c r="I34" s="21">
        <v>0.61499999999999999</v>
      </c>
      <c r="J34" s="21">
        <v>0.61</v>
      </c>
      <c r="K34" s="21">
        <v>0.61</v>
      </c>
      <c r="L34" s="23">
        <v>0.61</v>
      </c>
      <c r="M34" s="21">
        <v>0.63</v>
      </c>
      <c r="N34" s="21">
        <v>0.65</v>
      </c>
      <c r="O34" s="21">
        <v>0.65</v>
      </c>
      <c r="P34" s="23">
        <v>0.65</v>
      </c>
      <c r="Q34" s="21">
        <v>0.67</v>
      </c>
      <c r="R34" s="21">
        <v>0.67</v>
      </c>
      <c r="S34" s="21">
        <v>0.68</v>
      </c>
      <c r="T34" s="23">
        <v>0.68</v>
      </c>
      <c r="U34" s="21">
        <v>0.69</v>
      </c>
      <c r="V34" s="21">
        <v>0.76</v>
      </c>
      <c r="W34" s="21">
        <v>0.77</v>
      </c>
      <c r="X34" s="23">
        <v>0.77</v>
      </c>
    </row>
    <row r="35" spans="2:25" ht="18.75" customHeight="1" x14ac:dyDescent="0.25">
      <c r="B35" s="187"/>
      <c r="C35" s="128"/>
      <c r="D35" s="148"/>
      <c r="E35" s="152"/>
      <c r="F35" s="146"/>
      <c r="G35" s="156"/>
      <c r="H35" s="117" t="s">
        <v>27</v>
      </c>
      <c r="I35" s="21">
        <v>0.77</v>
      </c>
      <c r="J35" s="21">
        <v>0.78</v>
      </c>
      <c r="K35" s="21">
        <v>0.79</v>
      </c>
      <c r="L35" s="23">
        <v>0.79</v>
      </c>
      <c r="M35" s="21">
        <v>0.8</v>
      </c>
      <c r="N35" s="21">
        <v>0.81</v>
      </c>
      <c r="O35" s="21">
        <v>0.81</v>
      </c>
      <c r="P35" s="23">
        <v>0.81</v>
      </c>
      <c r="Q35" s="21">
        <v>0.82</v>
      </c>
      <c r="R35" s="21">
        <v>0.82</v>
      </c>
      <c r="S35" s="21">
        <v>0.83</v>
      </c>
      <c r="T35" s="23">
        <v>0.83</v>
      </c>
      <c r="U35" s="21">
        <v>0.84</v>
      </c>
      <c r="V35" s="21">
        <v>0.84</v>
      </c>
      <c r="W35" s="21">
        <v>0.85</v>
      </c>
      <c r="X35" s="23">
        <v>0.85</v>
      </c>
    </row>
    <row r="36" spans="2:25" ht="18.75" customHeight="1" x14ac:dyDescent="0.25">
      <c r="B36" s="187"/>
      <c r="C36" s="195"/>
      <c r="D36" s="191"/>
      <c r="E36" s="153"/>
      <c r="F36" s="146"/>
      <c r="G36" s="185"/>
      <c r="H36" s="117" t="s">
        <v>28</v>
      </c>
      <c r="I36" s="73">
        <v>0.78</v>
      </c>
      <c r="J36" s="79">
        <v>0.77</v>
      </c>
      <c r="K36" s="73">
        <v>0.79</v>
      </c>
      <c r="L36" s="84">
        <v>0.79</v>
      </c>
      <c r="M36" s="73">
        <v>0.8</v>
      </c>
      <c r="N36" s="74">
        <v>0.8</v>
      </c>
      <c r="O36" s="79">
        <v>0.79600000000000004</v>
      </c>
      <c r="P36" s="91">
        <v>0.8</v>
      </c>
      <c r="Q36" s="74">
        <v>0.79</v>
      </c>
      <c r="R36" s="79">
        <v>0.8</v>
      </c>
      <c r="S36" s="79">
        <v>0.75800000000000001</v>
      </c>
      <c r="T36" s="115">
        <v>0.76</v>
      </c>
      <c r="U36" s="49"/>
      <c r="V36" s="49"/>
      <c r="W36" s="49"/>
      <c r="X36" s="63"/>
    </row>
    <row r="37" spans="2:25" ht="18.75" customHeight="1" x14ac:dyDescent="0.25">
      <c r="B37" s="187"/>
      <c r="C37" s="136" t="s">
        <v>53</v>
      </c>
      <c r="D37" s="139" t="s">
        <v>54</v>
      </c>
      <c r="E37" s="159" t="s">
        <v>35</v>
      </c>
      <c r="F37" s="160">
        <v>0.9</v>
      </c>
      <c r="G37" s="163">
        <v>0.6</v>
      </c>
      <c r="H37" s="39" t="s">
        <v>26</v>
      </c>
      <c r="I37" s="58" t="s">
        <v>32</v>
      </c>
      <c r="J37" s="58" t="s">
        <v>32</v>
      </c>
      <c r="K37" s="58" t="s">
        <v>32</v>
      </c>
      <c r="L37" s="58" t="s">
        <v>32</v>
      </c>
      <c r="M37" s="58" t="s">
        <v>32</v>
      </c>
      <c r="N37" s="58" t="s">
        <v>32</v>
      </c>
      <c r="O37" s="58" t="s">
        <v>32</v>
      </c>
      <c r="P37" s="58" t="s">
        <v>32</v>
      </c>
      <c r="Q37" s="58" t="s">
        <v>32</v>
      </c>
      <c r="R37" s="58" t="s">
        <v>32</v>
      </c>
      <c r="S37" s="58" t="s">
        <v>32</v>
      </c>
      <c r="T37" s="58" t="s">
        <v>32</v>
      </c>
      <c r="U37" s="58" t="s">
        <v>32</v>
      </c>
      <c r="V37" s="58" t="s">
        <v>32</v>
      </c>
      <c r="W37" s="58" t="s">
        <v>32</v>
      </c>
      <c r="X37" s="58" t="s">
        <v>32</v>
      </c>
      <c r="Y37" s="52" t="s">
        <v>36</v>
      </c>
    </row>
    <row r="38" spans="2:25" ht="18.75" customHeight="1" x14ac:dyDescent="0.25">
      <c r="B38" s="187"/>
      <c r="C38" s="137"/>
      <c r="D38" s="140"/>
      <c r="E38" s="159"/>
      <c r="F38" s="160"/>
      <c r="G38" s="163"/>
      <c r="H38" s="39" t="s">
        <v>27</v>
      </c>
      <c r="I38" s="26">
        <v>0.9</v>
      </c>
      <c r="J38" s="26">
        <v>0.9</v>
      </c>
      <c r="K38" s="26">
        <v>0.9</v>
      </c>
      <c r="L38" s="27">
        <v>0.9</v>
      </c>
      <c r="M38" s="26">
        <v>0.9</v>
      </c>
      <c r="N38" s="26">
        <v>0.9</v>
      </c>
      <c r="O38" s="26">
        <v>0.9</v>
      </c>
      <c r="P38" s="27">
        <v>0.9</v>
      </c>
      <c r="Q38" s="26">
        <v>0.9</v>
      </c>
      <c r="R38" s="26">
        <v>0.9</v>
      </c>
      <c r="S38" s="26">
        <v>0.9</v>
      </c>
      <c r="T38" s="27">
        <v>0.9</v>
      </c>
      <c r="U38" s="26">
        <v>0.9</v>
      </c>
      <c r="V38" s="26">
        <v>0.9</v>
      </c>
      <c r="W38" s="26">
        <v>0.9</v>
      </c>
      <c r="X38" s="26">
        <v>0.9</v>
      </c>
    </row>
    <row r="39" spans="2:25" ht="18.75" customHeight="1" x14ac:dyDescent="0.25">
      <c r="B39" s="187"/>
      <c r="C39" s="138"/>
      <c r="D39" s="140"/>
      <c r="E39" s="159"/>
      <c r="F39" s="161"/>
      <c r="G39" s="163"/>
      <c r="H39" s="39" t="s">
        <v>28</v>
      </c>
      <c r="I39" s="74">
        <v>0.44</v>
      </c>
      <c r="J39" s="74">
        <v>0.44</v>
      </c>
      <c r="K39" s="73">
        <v>0.91</v>
      </c>
      <c r="L39" s="91">
        <v>0.6</v>
      </c>
      <c r="M39" s="74">
        <v>0</v>
      </c>
      <c r="N39" s="74">
        <v>0.6</v>
      </c>
      <c r="O39" s="74">
        <v>0.55000000000000004</v>
      </c>
      <c r="P39" s="91">
        <v>0.4</v>
      </c>
      <c r="Q39" s="74">
        <v>0.2</v>
      </c>
      <c r="R39" s="79">
        <v>0.7</v>
      </c>
      <c r="S39" s="79">
        <v>0.77</v>
      </c>
      <c r="T39" s="97">
        <v>0.56000000000000005</v>
      </c>
      <c r="U39" s="57"/>
      <c r="V39" s="57"/>
      <c r="W39" s="57"/>
      <c r="X39" s="18"/>
    </row>
    <row r="40" spans="2:25" ht="18.75" customHeight="1" x14ac:dyDescent="0.25">
      <c r="B40" s="187"/>
      <c r="C40" s="205" t="s">
        <v>55</v>
      </c>
      <c r="D40" s="208" t="s">
        <v>54</v>
      </c>
      <c r="E40" s="209" t="s">
        <v>35</v>
      </c>
      <c r="F40" s="146">
        <v>0.9</v>
      </c>
      <c r="G40" s="157">
        <v>0.85</v>
      </c>
      <c r="H40" s="56" t="s">
        <v>26</v>
      </c>
      <c r="I40" s="64" t="s">
        <v>32</v>
      </c>
      <c r="J40" s="64" t="s">
        <v>32</v>
      </c>
      <c r="K40" s="64" t="s">
        <v>32</v>
      </c>
      <c r="L40" s="64" t="s">
        <v>32</v>
      </c>
      <c r="M40" s="64" t="s">
        <v>32</v>
      </c>
      <c r="N40" s="64" t="s">
        <v>32</v>
      </c>
      <c r="O40" s="64" t="s">
        <v>32</v>
      </c>
      <c r="P40" s="64" t="s">
        <v>32</v>
      </c>
      <c r="Q40" s="64" t="s">
        <v>32</v>
      </c>
      <c r="R40" s="64" t="s">
        <v>32</v>
      </c>
      <c r="S40" s="64" t="s">
        <v>32</v>
      </c>
      <c r="T40" s="64" t="s">
        <v>32</v>
      </c>
      <c r="U40" s="64" t="s">
        <v>32</v>
      </c>
      <c r="V40" s="64" t="s">
        <v>32</v>
      </c>
      <c r="W40" s="64" t="s">
        <v>32</v>
      </c>
      <c r="X40" s="64" t="s">
        <v>32</v>
      </c>
      <c r="Y40" s="52" t="s">
        <v>36</v>
      </c>
    </row>
    <row r="41" spans="2:25" ht="18.75" customHeight="1" x14ac:dyDescent="0.25">
      <c r="B41" s="187"/>
      <c r="C41" s="206"/>
      <c r="D41" s="148"/>
      <c r="E41" s="209"/>
      <c r="F41" s="146"/>
      <c r="G41" s="158"/>
      <c r="H41" s="56" t="s">
        <v>27</v>
      </c>
      <c r="I41" s="21">
        <v>0.9</v>
      </c>
      <c r="J41" s="21">
        <v>0.9</v>
      </c>
      <c r="K41" s="21">
        <v>0.9</v>
      </c>
      <c r="L41" s="23">
        <v>0.9</v>
      </c>
      <c r="M41" s="21">
        <v>0.9</v>
      </c>
      <c r="N41" s="21">
        <v>0.9</v>
      </c>
      <c r="O41" s="21">
        <v>0.9</v>
      </c>
      <c r="P41" s="23">
        <v>0.9</v>
      </c>
      <c r="Q41" s="21">
        <v>0.9</v>
      </c>
      <c r="R41" s="21">
        <v>0.9</v>
      </c>
      <c r="S41" s="21">
        <v>0.9</v>
      </c>
      <c r="T41" s="23">
        <v>0.9</v>
      </c>
      <c r="U41" s="21">
        <v>0.9</v>
      </c>
      <c r="V41" s="21">
        <v>0.9</v>
      </c>
      <c r="W41" s="21">
        <v>0.9</v>
      </c>
      <c r="X41" s="21">
        <v>0.9</v>
      </c>
    </row>
    <row r="42" spans="2:25" ht="18.75" customHeight="1" x14ac:dyDescent="0.25">
      <c r="B42" s="187"/>
      <c r="C42" s="207"/>
      <c r="D42" s="148"/>
      <c r="E42" s="209"/>
      <c r="F42" s="146"/>
      <c r="G42" s="158"/>
      <c r="H42" s="56" t="s">
        <v>28</v>
      </c>
      <c r="I42" s="64" t="s">
        <v>32</v>
      </c>
      <c r="J42" s="64" t="s">
        <v>32</v>
      </c>
      <c r="K42" s="79">
        <v>0.85</v>
      </c>
      <c r="L42" s="97">
        <v>0.85</v>
      </c>
      <c r="M42" s="73">
        <v>1</v>
      </c>
      <c r="N42" s="64" t="s">
        <v>32</v>
      </c>
      <c r="O42" s="79">
        <v>0.15</v>
      </c>
      <c r="P42" s="97">
        <v>0.57999999999999996</v>
      </c>
      <c r="Q42" s="79">
        <v>0.7</v>
      </c>
      <c r="R42" s="73">
        <v>1</v>
      </c>
      <c r="S42" s="73">
        <v>0.92</v>
      </c>
      <c r="T42" s="97">
        <v>0.87</v>
      </c>
      <c r="U42" s="50"/>
      <c r="V42" s="50"/>
      <c r="W42" s="50"/>
      <c r="X42" s="13"/>
    </row>
    <row r="43" spans="2:25" ht="18.75" customHeight="1" x14ac:dyDescent="0.25">
      <c r="B43" s="187"/>
      <c r="C43" s="144" t="s">
        <v>56</v>
      </c>
      <c r="D43" s="139" t="s">
        <v>54</v>
      </c>
      <c r="E43" s="159" t="s">
        <v>35</v>
      </c>
      <c r="F43" s="160">
        <v>1</v>
      </c>
      <c r="G43" s="162">
        <v>0.93</v>
      </c>
      <c r="H43" s="39" t="s">
        <v>26</v>
      </c>
      <c r="I43" s="58" t="s">
        <v>32</v>
      </c>
      <c r="J43" s="58" t="s">
        <v>32</v>
      </c>
      <c r="K43" s="58" t="s">
        <v>32</v>
      </c>
      <c r="L43" s="58" t="s">
        <v>32</v>
      </c>
      <c r="M43" s="58" t="s">
        <v>32</v>
      </c>
      <c r="N43" s="58" t="s">
        <v>32</v>
      </c>
      <c r="O43" s="58" t="s">
        <v>32</v>
      </c>
      <c r="P43" s="58" t="s">
        <v>32</v>
      </c>
      <c r="Q43" s="58" t="s">
        <v>32</v>
      </c>
      <c r="R43" s="58" t="s">
        <v>32</v>
      </c>
      <c r="S43" s="58" t="s">
        <v>32</v>
      </c>
      <c r="T43" s="58" t="s">
        <v>32</v>
      </c>
      <c r="U43" s="58" t="s">
        <v>32</v>
      </c>
      <c r="V43" s="58" t="s">
        <v>32</v>
      </c>
      <c r="W43" s="58" t="s">
        <v>32</v>
      </c>
      <c r="X43" s="58" t="s">
        <v>32</v>
      </c>
      <c r="Y43" s="52" t="s">
        <v>36</v>
      </c>
    </row>
    <row r="44" spans="2:25" ht="18.75" customHeight="1" x14ac:dyDescent="0.25">
      <c r="B44" s="187"/>
      <c r="C44" s="145"/>
      <c r="D44" s="140"/>
      <c r="E44" s="159"/>
      <c r="F44" s="160"/>
      <c r="G44" s="162"/>
      <c r="H44" s="39" t="s">
        <v>27</v>
      </c>
      <c r="I44" s="26">
        <v>1</v>
      </c>
      <c r="J44" s="26">
        <v>1</v>
      </c>
      <c r="K44" s="26">
        <v>1</v>
      </c>
      <c r="L44" s="27">
        <v>1</v>
      </c>
      <c r="M44" s="26">
        <v>1</v>
      </c>
      <c r="N44" s="26">
        <v>1</v>
      </c>
      <c r="O44" s="26">
        <v>1</v>
      </c>
      <c r="P44" s="27">
        <v>1</v>
      </c>
      <c r="Q44" s="26">
        <v>1</v>
      </c>
      <c r="R44" s="26">
        <v>1</v>
      </c>
      <c r="S44" s="26">
        <v>1</v>
      </c>
      <c r="T44" s="27">
        <v>1</v>
      </c>
      <c r="U44" s="26">
        <v>1</v>
      </c>
      <c r="V44" s="26">
        <v>1</v>
      </c>
      <c r="W44" s="26">
        <v>1</v>
      </c>
      <c r="X44" s="26">
        <v>1</v>
      </c>
      <c r="Y44" s="7" t="s">
        <v>57</v>
      </c>
    </row>
    <row r="45" spans="2:25" ht="18.75" customHeight="1" x14ac:dyDescent="0.25">
      <c r="B45" s="187"/>
      <c r="C45" s="145"/>
      <c r="D45" s="140"/>
      <c r="E45" s="159"/>
      <c r="F45" s="161"/>
      <c r="G45" s="162"/>
      <c r="H45" s="39" t="s">
        <v>28</v>
      </c>
      <c r="I45" s="77" t="s">
        <v>32</v>
      </c>
      <c r="J45" s="77" t="s">
        <v>32</v>
      </c>
      <c r="K45" s="79">
        <v>0.93</v>
      </c>
      <c r="L45" s="97">
        <v>0.93</v>
      </c>
      <c r="M45" s="73">
        <v>1</v>
      </c>
      <c r="N45" s="77" t="s">
        <v>32</v>
      </c>
      <c r="O45" s="79">
        <v>0.98</v>
      </c>
      <c r="P45" s="97">
        <v>0.99</v>
      </c>
      <c r="Q45" s="79">
        <v>0.95</v>
      </c>
      <c r="R45" s="73">
        <v>1</v>
      </c>
      <c r="S45" s="73">
        <v>1</v>
      </c>
      <c r="T45" s="97">
        <v>0.98</v>
      </c>
      <c r="U45" s="57"/>
      <c r="V45" s="57"/>
      <c r="W45" s="57"/>
      <c r="X45" s="18"/>
    </row>
    <row r="46" spans="2:25" ht="18.75" customHeight="1" x14ac:dyDescent="0.25">
      <c r="B46" s="187"/>
      <c r="C46" s="128" t="s">
        <v>58</v>
      </c>
      <c r="D46" s="148" t="s">
        <v>54</v>
      </c>
      <c r="E46" s="149">
        <v>372</v>
      </c>
      <c r="F46" s="150">
        <v>366</v>
      </c>
      <c r="G46" s="135">
        <v>365</v>
      </c>
      <c r="H46" s="117" t="s">
        <v>26</v>
      </c>
      <c r="I46" s="102">
        <v>383</v>
      </c>
      <c r="J46" s="102">
        <v>381</v>
      </c>
      <c r="K46" s="102">
        <v>380</v>
      </c>
      <c r="L46" s="103">
        <v>381</v>
      </c>
      <c r="M46" s="102">
        <v>378</v>
      </c>
      <c r="N46" s="102">
        <v>376</v>
      </c>
      <c r="O46" s="102">
        <v>374</v>
      </c>
      <c r="P46" s="103">
        <v>376</v>
      </c>
      <c r="Q46" s="102">
        <v>372</v>
      </c>
      <c r="R46" s="102">
        <v>370</v>
      </c>
      <c r="S46" s="102">
        <v>371</v>
      </c>
      <c r="T46" s="103">
        <v>371</v>
      </c>
      <c r="U46" s="102">
        <v>372</v>
      </c>
      <c r="V46" s="102">
        <v>371</v>
      </c>
      <c r="W46" s="102">
        <v>371</v>
      </c>
      <c r="X46" s="103">
        <v>371</v>
      </c>
    </row>
    <row r="47" spans="2:25" ht="18.75" customHeight="1" x14ac:dyDescent="0.25">
      <c r="B47" s="187"/>
      <c r="C47" s="128"/>
      <c r="D47" s="148"/>
      <c r="E47" s="149"/>
      <c r="F47" s="150"/>
      <c r="G47" s="135"/>
      <c r="H47" s="117" t="s">
        <v>27</v>
      </c>
      <c r="I47" s="102">
        <v>366</v>
      </c>
      <c r="J47" s="102">
        <v>366</v>
      </c>
      <c r="K47" s="102">
        <v>366</v>
      </c>
      <c r="L47" s="103">
        <v>366</v>
      </c>
      <c r="M47" s="102">
        <v>366</v>
      </c>
      <c r="N47" s="102">
        <v>366</v>
      </c>
      <c r="O47" s="102">
        <v>366</v>
      </c>
      <c r="P47" s="103">
        <v>366</v>
      </c>
      <c r="Q47" s="102">
        <v>366</v>
      </c>
      <c r="R47" s="102">
        <v>366</v>
      </c>
      <c r="S47" s="102">
        <v>366</v>
      </c>
      <c r="T47" s="103">
        <v>366</v>
      </c>
      <c r="U47" s="102">
        <v>366</v>
      </c>
      <c r="V47" s="102">
        <v>366</v>
      </c>
      <c r="W47" s="102">
        <v>366</v>
      </c>
      <c r="X47" s="103">
        <v>366</v>
      </c>
      <c r="Y47" s="7" t="s">
        <v>59</v>
      </c>
    </row>
    <row r="48" spans="2:25" ht="18.75" customHeight="1" x14ac:dyDescent="0.25">
      <c r="B48" s="187"/>
      <c r="C48" s="128"/>
      <c r="D48" s="148"/>
      <c r="E48" s="149"/>
      <c r="F48" s="150"/>
      <c r="G48" s="135"/>
      <c r="H48" s="117" t="s">
        <v>28</v>
      </c>
      <c r="I48" s="72">
        <v>379</v>
      </c>
      <c r="J48" s="72">
        <v>373</v>
      </c>
      <c r="K48" s="72">
        <v>380</v>
      </c>
      <c r="L48" s="92">
        <v>377</v>
      </c>
      <c r="M48" s="72">
        <v>377</v>
      </c>
      <c r="N48" s="83">
        <v>365</v>
      </c>
      <c r="O48" s="83">
        <v>365</v>
      </c>
      <c r="P48" s="92">
        <v>369</v>
      </c>
      <c r="Q48" s="83">
        <v>363</v>
      </c>
      <c r="R48" s="83">
        <v>360</v>
      </c>
      <c r="S48" s="83">
        <v>363</v>
      </c>
      <c r="T48" s="94">
        <v>362</v>
      </c>
      <c r="U48" s="102"/>
      <c r="V48" s="102"/>
      <c r="W48" s="102"/>
      <c r="X48" s="103"/>
    </row>
    <row r="49" spans="2:25" ht="18.75" customHeight="1" x14ac:dyDescent="0.25">
      <c r="B49" s="187"/>
      <c r="C49" s="174" t="s">
        <v>60</v>
      </c>
      <c r="D49" s="175" t="s">
        <v>47</v>
      </c>
      <c r="E49" s="177">
        <v>0.71</v>
      </c>
      <c r="F49" s="197">
        <v>0.92</v>
      </c>
      <c r="G49" s="131">
        <v>0.72</v>
      </c>
      <c r="H49" s="118" t="s">
        <v>26</v>
      </c>
      <c r="I49" s="26">
        <v>0.59</v>
      </c>
      <c r="J49" s="26">
        <v>0.77</v>
      </c>
      <c r="K49" s="26">
        <v>0.68</v>
      </c>
      <c r="L49" s="27">
        <v>0.68</v>
      </c>
      <c r="M49" s="26">
        <v>0.7</v>
      </c>
      <c r="N49" s="26">
        <v>0.73</v>
      </c>
      <c r="O49" s="26">
        <v>0.89</v>
      </c>
      <c r="P49" s="27">
        <v>0.77333333333333332</v>
      </c>
      <c r="Q49" s="26">
        <v>0.9</v>
      </c>
      <c r="R49" s="26">
        <v>0.91</v>
      </c>
      <c r="S49" s="26">
        <v>0.9</v>
      </c>
      <c r="T49" s="27">
        <v>0.90333333333333332</v>
      </c>
      <c r="U49" s="26">
        <v>0.9044444444444445</v>
      </c>
      <c r="V49" s="26">
        <v>0.89</v>
      </c>
      <c r="W49" s="26">
        <v>0.78</v>
      </c>
      <c r="X49" s="27">
        <v>0.85814814814814822</v>
      </c>
    </row>
    <row r="50" spans="2:25" ht="18.75" customHeight="1" x14ac:dyDescent="0.25">
      <c r="B50" s="187"/>
      <c r="C50" s="129"/>
      <c r="D50" s="176"/>
      <c r="E50" s="177"/>
      <c r="F50" s="197"/>
      <c r="G50" s="132"/>
      <c r="H50" s="118" t="s">
        <v>27</v>
      </c>
      <c r="I50" s="26">
        <v>0.92</v>
      </c>
      <c r="J50" s="26">
        <v>0.92</v>
      </c>
      <c r="K50" s="26">
        <v>0.92</v>
      </c>
      <c r="L50" s="27">
        <v>0.92</v>
      </c>
      <c r="M50" s="26">
        <v>0.92</v>
      </c>
      <c r="N50" s="26">
        <v>0.92</v>
      </c>
      <c r="O50" s="26">
        <v>0.92</v>
      </c>
      <c r="P50" s="27">
        <v>0.92</v>
      </c>
      <c r="Q50" s="26">
        <v>0.92</v>
      </c>
      <c r="R50" s="26">
        <v>0.92</v>
      </c>
      <c r="S50" s="26">
        <v>0.92</v>
      </c>
      <c r="T50" s="27">
        <v>0.92</v>
      </c>
      <c r="U50" s="26">
        <v>0.92</v>
      </c>
      <c r="V50" s="26">
        <v>0.92</v>
      </c>
      <c r="W50" s="26">
        <v>0.92</v>
      </c>
      <c r="X50" s="27">
        <v>0.92</v>
      </c>
    </row>
    <row r="51" spans="2:25" ht="18.75" customHeight="1" x14ac:dyDescent="0.25">
      <c r="B51" s="187"/>
      <c r="C51" s="129"/>
      <c r="D51" s="176"/>
      <c r="E51" s="177"/>
      <c r="F51" s="197"/>
      <c r="G51" s="132"/>
      <c r="H51" s="118" t="s">
        <v>28</v>
      </c>
      <c r="I51" s="74">
        <v>0.83</v>
      </c>
      <c r="J51" s="74">
        <v>0.6</v>
      </c>
      <c r="K51" s="74" t="s">
        <v>61</v>
      </c>
      <c r="L51" s="91">
        <v>0.72</v>
      </c>
      <c r="M51" s="74">
        <v>0.85</v>
      </c>
      <c r="N51" s="74">
        <v>0.89</v>
      </c>
      <c r="O51" s="74">
        <v>0.91</v>
      </c>
      <c r="P51" s="91">
        <v>0.82</v>
      </c>
      <c r="Q51" s="74">
        <v>0.89</v>
      </c>
      <c r="R51" s="74">
        <v>0.89</v>
      </c>
      <c r="S51" s="74">
        <v>0.88</v>
      </c>
      <c r="T51" s="74">
        <v>0.88</v>
      </c>
      <c r="U51" s="47"/>
      <c r="V51" s="47"/>
      <c r="W51" s="26"/>
      <c r="X51" s="27"/>
    </row>
    <row r="52" spans="2:25" ht="18.75" customHeight="1" x14ac:dyDescent="0.25">
      <c r="B52" s="187"/>
      <c r="C52" s="128" t="s">
        <v>62</v>
      </c>
      <c r="D52" s="148" t="s">
        <v>47</v>
      </c>
      <c r="E52" s="198" t="s">
        <v>35</v>
      </c>
      <c r="F52" s="154" t="s">
        <v>63</v>
      </c>
      <c r="G52" s="156">
        <v>0.28999999999999998</v>
      </c>
      <c r="H52" s="117" t="s">
        <v>26</v>
      </c>
      <c r="I52" s="24" t="s">
        <v>35</v>
      </c>
      <c r="J52" s="24" t="s">
        <v>35</v>
      </c>
      <c r="K52" s="24" t="s">
        <v>35</v>
      </c>
      <c r="L52" s="25" t="s">
        <v>35</v>
      </c>
      <c r="M52" s="24" t="s">
        <v>35</v>
      </c>
      <c r="N52" s="24" t="s">
        <v>35</v>
      </c>
      <c r="O52" s="24" t="s">
        <v>35</v>
      </c>
      <c r="P52" s="25" t="s">
        <v>35</v>
      </c>
      <c r="Q52" s="24" t="s">
        <v>35</v>
      </c>
      <c r="R52" s="24" t="s">
        <v>35</v>
      </c>
      <c r="S52" s="24" t="s">
        <v>35</v>
      </c>
      <c r="T52" s="25" t="s">
        <v>35</v>
      </c>
      <c r="U52" s="24" t="s">
        <v>35</v>
      </c>
      <c r="V52" s="24" t="s">
        <v>35</v>
      </c>
      <c r="W52" s="24" t="s">
        <v>35</v>
      </c>
      <c r="X52" s="25" t="s">
        <v>35</v>
      </c>
      <c r="Y52" s="52" t="s">
        <v>36</v>
      </c>
    </row>
    <row r="53" spans="2:25" ht="18.75" customHeight="1" x14ac:dyDescent="0.25">
      <c r="B53" s="187"/>
      <c r="C53" s="128"/>
      <c r="D53" s="148"/>
      <c r="E53" s="198"/>
      <c r="F53" s="155"/>
      <c r="G53" s="156"/>
      <c r="H53" s="117" t="s">
        <v>27</v>
      </c>
      <c r="I53" s="133"/>
      <c r="J53" s="133"/>
      <c r="K53" s="133"/>
      <c r="L53" s="104" t="s">
        <v>63</v>
      </c>
      <c r="M53" s="133"/>
      <c r="N53" s="133"/>
      <c r="O53" s="133"/>
      <c r="P53" s="104" t="s">
        <v>63</v>
      </c>
      <c r="Q53" s="133"/>
      <c r="R53" s="133"/>
      <c r="S53" s="133"/>
      <c r="T53" s="104" t="s">
        <v>63</v>
      </c>
      <c r="U53" s="133"/>
      <c r="V53" s="133"/>
      <c r="W53" s="133"/>
      <c r="X53" s="104" t="s">
        <v>63</v>
      </c>
      <c r="Y53" s="7" t="s">
        <v>64</v>
      </c>
    </row>
    <row r="54" spans="2:25" ht="18.75" customHeight="1" x14ac:dyDescent="0.25">
      <c r="B54" s="187"/>
      <c r="C54" s="128"/>
      <c r="D54" s="148"/>
      <c r="E54" s="198"/>
      <c r="F54" s="155"/>
      <c r="G54" s="156"/>
      <c r="H54" s="117" t="s">
        <v>28</v>
      </c>
      <c r="I54" s="24" t="s">
        <v>65</v>
      </c>
      <c r="J54" s="24" t="s">
        <v>66</v>
      </c>
      <c r="K54" s="24">
        <v>0.28799999999999998</v>
      </c>
      <c r="L54" s="91">
        <v>0.28999999999999998</v>
      </c>
      <c r="M54" s="24">
        <v>0.192</v>
      </c>
      <c r="N54" s="24">
        <v>0.17</v>
      </c>
      <c r="O54" s="24">
        <v>0.13</v>
      </c>
      <c r="P54" s="91">
        <v>0.16</v>
      </c>
      <c r="Q54" s="24">
        <v>0.214</v>
      </c>
      <c r="R54" s="24">
        <v>0.214</v>
      </c>
      <c r="S54" s="24">
        <v>0.3</v>
      </c>
      <c r="T54" s="91">
        <v>0.24</v>
      </c>
      <c r="U54" s="24"/>
      <c r="V54" s="24"/>
      <c r="W54" s="24"/>
      <c r="X54" s="25"/>
    </row>
    <row r="55" spans="2:25" ht="18.75" customHeight="1" x14ac:dyDescent="0.25">
      <c r="B55" s="187"/>
      <c r="C55" s="129" t="s">
        <v>67</v>
      </c>
      <c r="D55" s="176" t="s">
        <v>68</v>
      </c>
      <c r="E55" s="213">
        <f>X55</f>
        <v>40</v>
      </c>
      <c r="F55" s="196">
        <v>55</v>
      </c>
      <c r="G55" s="134">
        <f>X57</f>
        <v>51</v>
      </c>
      <c r="H55" s="118" t="s">
        <v>26</v>
      </c>
      <c r="I55" s="15">
        <v>0</v>
      </c>
      <c r="J55" s="15">
        <v>28</v>
      </c>
      <c r="K55" s="15">
        <v>0</v>
      </c>
      <c r="L55" s="18">
        <v>28</v>
      </c>
      <c r="M55" s="15">
        <v>0</v>
      </c>
      <c r="N55" s="15">
        <v>0</v>
      </c>
      <c r="O55" s="15">
        <v>0</v>
      </c>
      <c r="P55" s="18">
        <v>28</v>
      </c>
      <c r="Q55" s="17">
        <v>7</v>
      </c>
      <c r="R55" s="17">
        <v>0</v>
      </c>
      <c r="S55" s="17">
        <v>0</v>
      </c>
      <c r="T55" s="18">
        <v>35</v>
      </c>
      <c r="U55" s="17">
        <v>1</v>
      </c>
      <c r="V55" s="17">
        <v>0</v>
      </c>
      <c r="W55" s="17">
        <v>4</v>
      </c>
      <c r="X55" s="18">
        <v>40</v>
      </c>
    </row>
    <row r="56" spans="2:25" ht="18.75" customHeight="1" x14ac:dyDescent="0.25">
      <c r="B56" s="187"/>
      <c r="C56" s="129"/>
      <c r="D56" s="176"/>
      <c r="E56" s="213"/>
      <c r="F56" s="196"/>
      <c r="G56" s="134"/>
      <c r="H56" s="118" t="s">
        <v>27</v>
      </c>
      <c r="I56" s="151" t="s">
        <v>32</v>
      </c>
      <c r="J56" s="151"/>
      <c r="K56" s="151"/>
      <c r="L56" s="18">
        <v>13</v>
      </c>
      <c r="M56" s="151" t="s">
        <v>32</v>
      </c>
      <c r="N56" s="151"/>
      <c r="O56" s="151"/>
      <c r="P56" s="18">
        <v>27</v>
      </c>
      <c r="Q56" s="151" t="s">
        <v>32</v>
      </c>
      <c r="R56" s="151"/>
      <c r="S56" s="151"/>
      <c r="T56" s="18">
        <v>41</v>
      </c>
      <c r="U56" s="151" t="s">
        <v>32</v>
      </c>
      <c r="V56" s="151"/>
      <c r="W56" s="151"/>
      <c r="X56" s="18">
        <v>55</v>
      </c>
    </row>
    <row r="57" spans="2:25" ht="18.75" customHeight="1" x14ac:dyDescent="0.25">
      <c r="B57" s="187"/>
      <c r="C57" s="129"/>
      <c r="D57" s="176"/>
      <c r="E57" s="213"/>
      <c r="F57" s="196"/>
      <c r="G57" s="134"/>
      <c r="H57" s="118" t="s">
        <v>28</v>
      </c>
      <c r="I57" s="105">
        <v>0</v>
      </c>
      <c r="J57" s="105">
        <v>0</v>
      </c>
      <c r="K57" s="105">
        <v>17</v>
      </c>
      <c r="L57" s="86">
        <v>17</v>
      </c>
      <c r="M57" s="105">
        <v>25</v>
      </c>
      <c r="N57" s="105">
        <v>0</v>
      </c>
      <c r="O57" s="105">
        <v>0</v>
      </c>
      <c r="P57" s="108">
        <v>42</v>
      </c>
      <c r="Q57" s="105">
        <v>2</v>
      </c>
      <c r="R57" s="105">
        <v>3</v>
      </c>
      <c r="S57" s="105">
        <v>4</v>
      </c>
      <c r="T57" s="108">
        <v>51</v>
      </c>
      <c r="U57" s="105"/>
      <c r="V57" s="105"/>
      <c r="W57" s="105"/>
      <c r="X57" s="106">
        <f>SUM(T57:W57)</f>
        <v>51</v>
      </c>
    </row>
    <row r="58" spans="2:25" ht="15" hidden="1" customHeight="1" x14ac:dyDescent="0.25">
      <c r="B58" s="186" t="s">
        <v>69</v>
      </c>
      <c r="C58" s="188" t="s">
        <v>70</v>
      </c>
      <c r="D58" s="191" t="s">
        <v>71</v>
      </c>
      <c r="E58" s="220">
        <v>92.5</v>
      </c>
      <c r="F58" s="227">
        <v>93</v>
      </c>
      <c r="G58" s="220">
        <v>92.5</v>
      </c>
      <c r="H58" s="117" t="s">
        <v>26</v>
      </c>
      <c r="I58" s="34">
        <v>91.5</v>
      </c>
      <c r="J58" s="34">
        <v>91.5</v>
      </c>
      <c r="K58" s="34">
        <v>90.5</v>
      </c>
      <c r="L58" s="35">
        <v>90.5</v>
      </c>
      <c r="M58" s="34">
        <v>91</v>
      </c>
      <c r="N58" s="34">
        <v>90.5</v>
      </c>
      <c r="O58" s="34">
        <v>90.5</v>
      </c>
      <c r="P58" s="35">
        <v>90.5</v>
      </c>
      <c r="Q58" s="34">
        <v>89.5</v>
      </c>
      <c r="R58" s="34">
        <v>90.5</v>
      </c>
      <c r="S58" s="34">
        <v>90.5</v>
      </c>
      <c r="T58" s="35">
        <v>90.5</v>
      </c>
      <c r="U58" s="34">
        <v>91.5</v>
      </c>
      <c r="V58" s="34">
        <v>91.5</v>
      </c>
      <c r="W58" s="34">
        <v>92.5</v>
      </c>
      <c r="X58" s="35">
        <v>92.5</v>
      </c>
      <c r="Y58" s="37" t="s">
        <v>72</v>
      </c>
    </row>
    <row r="59" spans="2:25" ht="15" hidden="1" customHeight="1" x14ac:dyDescent="0.25">
      <c r="B59" s="187"/>
      <c r="C59" s="189"/>
      <c r="D59" s="192"/>
      <c r="E59" s="221"/>
      <c r="F59" s="228"/>
      <c r="G59" s="221"/>
      <c r="H59" s="117" t="s">
        <v>27</v>
      </c>
      <c r="I59" s="19">
        <v>93</v>
      </c>
      <c r="J59" s="19">
        <v>93</v>
      </c>
      <c r="K59" s="19">
        <v>93</v>
      </c>
      <c r="L59" s="28">
        <v>93</v>
      </c>
      <c r="M59" s="19">
        <v>93</v>
      </c>
      <c r="N59" s="19">
        <v>93</v>
      </c>
      <c r="O59" s="19">
        <v>93</v>
      </c>
      <c r="P59" s="28">
        <v>93</v>
      </c>
      <c r="Q59" s="19">
        <v>93</v>
      </c>
      <c r="R59" s="19">
        <v>93</v>
      </c>
      <c r="S59" s="19">
        <v>93</v>
      </c>
      <c r="T59" s="28">
        <v>93</v>
      </c>
      <c r="U59" s="19">
        <v>93</v>
      </c>
      <c r="V59" s="19">
        <v>93</v>
      </c>
      <c r="W59" s="19">
        <v>93</v>
      </c>
      <c r="X59" s="28">
        <v>93</v>
      </c>
      <c r="Y59" s="7" t="s">
        <v>73</v>
      </c>
    </row>
    <row r="60" spans="2:25" ht="15" hidden="1" customHeight="1" x14ac:dyDescent="0.25">
      <c r="B60" s="187"/>
      <c r="C60" s="190"/>
      <c r="D60" s="193"/>
      <c r="E60" s="222"/>
      <c r="F60" s="229"/>
      <c r="G60" s="222"/>
      <c r="H60" s="117" t="s">
        <v>28</v>
      </c>
      <c r="I60" s="36">
        <v>92.5</v>
      </c>
      <c r="J60" s="19"/>
      <c r="K60" s="19"/>
      <c r="L60" s="20"/>
      <c r="M60" s="22"/>
      <c r="N60" s="22"/>
      <c r="O60" s="22"/>
      <c r="P60" s="20"/>
      <c r="Q60" s="22"/>
      <c r="R60" s="22"/>
      <c r="S60" s="22"/>
      <c r="T60" s="20"/>
      <c r="U60" s="22"/>
      <c r="V60" s="99"/>
      <c r="W60" s="99"/>
      <c r="X60" s="20"/>
    </row>
    <row r="61" spans="2:25" ht="18.75" customHeight="1" x14ac:dyDescent="0.25">
      <c r="B61" s="186" t="s">
        <v>74</v>
      </c>
      <c r="C61" s="214" t="s">
        <v>75</v>
      </c>
      <c r="D61" s="148" t="s">
        <v>39</v>
      </c>
      <c r="E61" s="219">
        <f>L61+P61+T61+X61</f>
        <v>30.187825999999998</v>
      </c>
      <c r="F61" s="231">
        <f>SUM(L62,P62,T62,X62)</f>
        <v>28</v>
      </c>
      <c r="G61" s="226">
        <f>L63+P63+T63+X63</f>
        <v>18.672584000000001</v>
      </c>
      <c r="H61" s="117" t="s">
        <v>26</v>
      </c>
      <c r="I61" s="66">
        <v>1.7</v>
      </c>
      <c r="J61" s="66">
        <v>2.5150000000000001</v>
      </c>
      <c r="K61" s="66">
        <v>2.2999999999999998</v>
      </c>
      <c r="L61" s="67">
        <f>K61+J61+I61</f>
        <v>6.5149999999999997</v>
      </c>
      <c r="M61" s="66">
        <v>2.8</v>
      </c>
      <c r="N61" s="66">
        <v>2.2000000000000002</v>
      </c>
      <c r="O61" s="66">
        <v>2.972826</v>
      </c>
      <c r="P61" s="67">
        <f>O61+N61+M61</f>
        <v>7.9728260000000004</v>
      </c>
      <c r="Q61" s="66">
        <v>2</v>
      </c>
      <c r="R61" s="66">
        <v>2.2999999999999998</v>
      </c>
      <c r="S61" s="66">
        <v>2.7</v>
      </c>
      <c r="T61" s="67">
        <f>S61+R61+Q61</f>
        <v>7</v>
      </c>
      <c r="U61" s="66">
        <v>3.1</v>
      </c>
      <c r="V61" s="66">
        <v>2.6</v>
      </c>
      <c r="W61" s="66">
        <v>3.04</v>
      </c>
      <c r="X61" s="67">
        <v>8.6999999999999993</v>
      </c>
    </row>
    <row r="62" spans="2:25" ht="18.75" customHeight="1" x14ac:dyDescent="0.25">
      <c r="B62" s="187"/>
      <c r="C62" s="214"/>
      <c r="D62" s="148"/>
      <c r="E62" s="219"/>
      <c r="F62" s="231"/>
      <c r="G62" s="226"/>
      <c r="H62" s="117" t="s">
        <v>27</v>
      </c>
      <c r="I62" s="133" t="s">
        <v>32</v>
      </c>
      <c r="J62" s="133"/>
      <c r="K62" s="133"/>
      <c r="L62" s="67">
        <v>5</v>
      </c>
      <c r="M62" s="133" t="s">
        <v>32</v>
      </c>
      <c r="N62" s="133"/>
      <c r="O62" s="133"/>
      <c r="P62" s="67">
        <v>7</v>
      </c>
      <c r="Q62" s="133" t="s">
        <v>32</v>
      </c>
      <c r="R62" s="133"/>
      <c r="S62" s="133"/>
      <c r="T62" s="67">
        <v>7</v>
      </c>
      <c r="U62" s="67" t="s">
        <v>32</v>
      </c>
      <c r="V62" s="116"/>
      <c r="W62" s="116"/>
      <c r="X62" s="67">
        <v>9</v>
      </c>
    </row>
    <row r="63" spans="2:25" ht="18.75" customHeight="1" x14ac:dyDescent="0.25">
      <c r="B63" s="187"/>
      <c r="C63" s="214"/>
      <c r="D63" s="148"/>
      <c r="E63" s="219"/>
      <c r="F63" s="231"/>
      <c r="G63" s="226"/>
      <c r="H63" s="117" t="s">
        <v>28</v>
      </c>
      <c r="I63" s="116">
        <v>1.333</v>
      </c>
      <c r="J63" s="116">
        <v>1.4</v>
      </c>
      <c r="K63" s="116">
        <v>2.5</v>
      </c>
      <c r="L63" s="87">
        <f>K63+J63+I63</f>
        <v>5.2329999999999997</v>
      </c>
      <c r="M63" s="116">
        <v>1.5</v>
      </c>
      <c r="N63" s="116">
        <v>3.2572839999999998</v>
      </c>
      <c r="O63" s="116">
        <v>1.86</v>
      </c>
      <c r="P63" s="107">
        <f>O63+N63+M63</f>
        <v>6.6172839999999997</v>
      </c>
      <c r="Q63" s="116">
        <v>2.2623000000000002</v>
      </c>
      <c r="R63" s="116">
        <v>2.5099999999999998</v>
      </c>
      <c r="S63" s="116">
        <v>2.0499999999999998</v>
      </c>
      <c r="T63" s="107">
        <f>S63+R63+Q63</f>
        <v>6.8223000000000003</v>
      </c>
      <c r="U63" s="116"/>
      <c r="V63" s="116"/>
      <c r="W63" s="116"/>
      <c r="X63" s="88">
        <f>W63+V63+U63</f>
        <v>0</v>
      </c>
      <c r="Y63" s="52" t="s">
        <v>76</v>
      </c>
    </row>
    <row r="64" spans="2:25" ht="15.75" x14ac:dyDescent="0.25">
      <c r="B64" s="187"/>
      <c r="C64" s="210" t="s">
        <v>77</v>
      </c>
      <c r="D64" s="211" t="s">
        <v>78</v>
      </c>
      <c r="E64" s="212">
        <f>L64+P64+T64+X64</f>
        <v>-8.4644727175232077</v>
      </c>
      <c r="F64" s="230">
        <f>SUM(L65,P65,T65,X65)</f>
        <v>-7.0189285867816498</v>
      </c>
      <c r="G64" s="234">
        <f>SUM(L66,P66,T66,Q66,X66)</f>
        <v>-7.7177693521439767</v>
      </c>
      <c r="H64" s="119" t="s">
        <v>26</v>
      </c>
      <c r="I64" s="68">
        <v>-0.5</v>
      </c>
      <c r="J64" s="68">
        <v>-0.5</v>
      </c>
      <c r="K64" s="68">
        <v>-1.1000000000000001</v>
      </c>
      <c r="L64" s="69">
        <f t="shared" ref="L64:L69" si="8">SUM(I64:K64)</f>
        <v>-2.1</v>
      </c>
      <c r="M64" s="68">
        <v>-0.5</v>
      </c>
      <c r="N64" s="68">
        <v>0.1</v>
      </c>
      <c r="O64" s="68">
        <v>-1.5</v>
      </c>
      <c r="P64" s="69">
        <f t="shared" ref="P64:P69" si="9">SUM(M64:O64)</f>
        <v>-1.9</v>
      </c>
      <c r="Q64" s="68">
        <v>-0.9</v>
      </c>
      <c r="R64" s="68">
        <v>-0.83660522126404935</v>
      </c>
      <c r="S64" s="68">
        <v>-0.41</v>
      </c>
      <c r="T64" s="69">
        <f t="shared" ref="T64:T69" si="10">SUM(Q64:S64)</f>
        <v>-2.1466052212640494</v>
      </c>
      <c r="U64" s="68">
        <v>-0.48</v>
      </c>
      <c r="V64" s="68">
        <v>-0.34</v>
      </c>
      <c r="W64" s="68">
        <v>-1.4978674962591589</v>
      </c>
      <c r="X64" s="69">
        <f t="shared" ref="X64:X69" si="11">SUM(U64:W64)</f>
        <v>-2.3178674962591588</v>
      </c>
    </row>
    <row r="65" spans="2:24" ht="15.75" x14ac:dyDescent="0.25">
      <c r="B65" s="187"/>
      <c r="C65" s="210"/>
      <c r="D65" s="211"/>
      <c r="E65" s="212"/>
      <c r="F65" s="230"/>
      <c r="G65" s="234"/>
      <c r="H65" s="119" t="s">
        <v>27</v>
      </c>
      <c r="I65" s="68">
        <v>-0.6</v>
      </c>
      <c r="J65" s="68">
        <v>-0.5</v>
      </c>
      <c r="K65" s="68">
        <v>-1.1000000000000001</v>
      </c>
      <c r="L65" s="69">
        <f t="shared" si="8"/>
        <v>-2.2000000000000002</v>
      </c>
      <c r="M65" s="68">
        <v>-0.8</v>
      </c>
      <c r="N65" s="68">
        <v>-0.5</v>
      </c>
      <c r="O65" s="68">
        <v>-0.7</v>
      </c>
      <c r="P65" s="69">
        <f t="shared" si="9"/>
        <v>-2</v>
      </c>
      <c r="Q65" s="68">
        <v>-0.4710695833326044</v>
      </c>
      <c r="R65" s="68">
        <v>-0.47785080650561662</v>
      </c>
      <c r="S65" s="68">
        <v>-0.56812301870144577</v>
      </c>
      <c r="T65" s="69">
        <f t="shared" si="10"/>
        <v>-1.5170434085396667</v>
      </c>
      <c r="U65" s="68">
        <v>-0.32641448602076573</v>
      </c>
      <c r="V65" s="68">
        <v>-0.37253694072630583</v>
      </c>
      <c r="W65" s="68">
        <v>-0.60293375149491213</v>
      </c>
      <c r="X65" s="69">
        <f t="shared" si="11"/>
        <v>-1.3018851782419838</v>
      </c>
    </row>
    <row r="66" spans="2:24" ht="15.75" x14ac:dyDescent="0.25">
      <c r="B66" s="187"/>
      <c r="C66" s="210"/>
      <c r="D66" s="211"/>
      <c r="E66" s="212"/>
      <c r="F66" s="230"/>
      <c r="G66" s="234"/>
      <c r="H66" s="119" t="s">
        <v>28</v>
      </c>
      <c r="I66" s="78">
        <v>-0.8</v>
      </c>
      <c r="J66" s="78">
        <v>-0.8</v>
      </c>
      <c r="K66" s="85">
        <v>-0.5</v>
      </c>
      <c r="L66" s="93">
        <f t="shared" si="8"/>
        <v>-2.1</v>
      </c>
      <c r="M66" s="85">
        <v>-0.6</v>
      </c>
      <c r="N66" s="78">
        <v>-0.9</v>
      </c>
      <c r="O66" s="85">
        <v>-0.27622289841125025</v>
      </c>
      <c r="P66" s="93">
        <f>SUM(M66:O66)</f>
        <v>-1.7762228984112503</v>
      </c>
      <c r="Q66" s="78">
        <v>-1.0024414133348749</v>
      </c>
      <c r="R66" s="114">
        <v>-7.2116247391932953E-2</v>
      </c>
      <c r="S66" s="78">
        <v>-1.7645473796710434</v>
      </c>
      <c r="T66" s="237">
        <f t="shared" si="10"/>
        <v>-2.8391050403978513</v>
      </c>
      <c r="U66" s="68"/>
      <c r="V66" s="68"/>
      <c r="W66" s="68"/>
      <c r="X66" s="232">
        <f t="shared" si="11"/>
        <v>0</v>
      </c>
    </row>
    <row r="67" spans="2:24" ht="15" customHeight="1" x14ac:dyDescent="0.25">
      <c r="B67" s="187"/>
      <c r="C67" s="216" t="s">
        <v>79</v>
      </c>
      <c r="D67" s="217" t="s">
        <v>78</v>
      </c>
      <c r="E67" s="218">
        <f>L67+P67+T67+X67</f>
        <v>-20.34262829557931</v>
      </c>
      <c r="F67" s="223">
        <f>SUM(L68,P68,T68,X68)</f>
        <v>-24.141371751369434</v>
      </c>
      <c r="G67" s="236">
        <f>SUM(L69,P69,T69,X69)</f>
        <v>-17.543429099999987</v>
      </c>
      <c r="H67" s="120" t="s">
        <v>26</v>
      </c>
      <c r="I67" s="70">
        <v>-1.3</v>
      </c>
      <c r="J67" s="70">
        <v>-1.8</v>
      </c>
      <c r="K67" s="70">
        <v>-1.2</v>
      </c>
      <c r="L67" s="71">
        <f t="shared" si="8"/>
        <v>-4.3</v>
      </c>
      <c r="M67" s="70">
        <v>-1.6</v>
      </c>
      <c r="N67" s="70">
        <v>-1.4</v>
      </c>
      <c r="O67" s="70">
        <v>-1.5</v>
      </c>
      <c r="P67" s="71">
        <f t="shared" si="9"/>
        <v>-4.5</v>
      </c>
      <c r="Q67" s="70">
        <v>-1.91</v>
      </c>
      <c r="R67" s="70">
        <v>-2.3939222677777598</v>
      </c>
      <c r="S67" s="70">
        <v>-2.1</v>
      </c>
      <c r="T67" s="71">
        <f t="shared" si="10"/>
        <v>-6.4039222677777605</v>
      </c>
      <c r="U67" s="70">
        <v>-1.71</v>
      </c>
      <c r="V67" s="70">
        <v>-1.76033753077637</v>
      </c>
      <c r="W67" s="70">
        <v>-1.66836849702518</v>
      </c>
      <c r="X67" s="71">
        <f t="shared" si="11"/>
        <v>-5.1387060278015504</v>
      </c>
    </row>
    <row r="68" spans="2:24" ht="15" customHeight="1" x14ac:dyDescent="0.25">
      <c r="B68" s="187"/>
      <c r="C68" s="216"/>
      <c r="D68" s="217"/>
      <c r="E68" s="218"/>
      <c r="F68" s="224"/>
      <c r="G68" s="236"/>
      <c r="H68" s="120" t="s">
        <v>27</v>
      </c>
      <c r="I68" s="70">
        <v>-2.1</v>
      </c>
      <c r="J68" s="70">
        <v>-2.1</v>
      </c>
      <c r="K68" s="70">
        <v>-2.1</v>
      </c>
      <c r="L68" s="71">
        <f t="shared" si="8"/>
        <v>-6.3000000000000007</v>
      </c>
      <c r="M68" s="70">
        <v>-1.7</v>
      </c>
      <c r="N68" s="70">
        <v>-1.7</v>
      </c>
      <c r="O68" s="70">
        <v>-1.7</v>
      </c>
      <c r="P68" s="71">
        <f t="shared" si="9"/>
        <v>-5.0999999999999996</v>
      </c>
      <c r="Q68" s="70">
        <v>-2.1922261252282387</v>
      </c>
      <c r="R68" s="70">
        <v>-2.1922261252282387</v>
      </c>
      <c r="S68" s="70">
        <v>-2.1922261252282387</v>
      </c>
      <c r="T68" s="71">
        <f t="shared" si="10"/>
        <v>-6.5766783756847165</v>
      </c>
      <c r="U68" s="70">
        <v>-2.0548977918949052</v>
      </c>
      <c r="V68" s="70">
        <v>-2.0548977918949052</v>
      </c>
      <c r="W68" s="70">
        <v>-2.0548977918949052</v>
      </c>
      <c r="X68" s="71">
        <f t="shared" si="11"/>
        <v>-6.1646933756847151</v>
      </c>
    </row>
    <row r="69" spans="2:24" ht="15" customHeight="1" x14ac:dyDescent="0.25">
      <c r="B69" s="215"/>
      <c r="C69" s="216"/>
      <c r="D69" s="217"/>
      <c r="E69" s="218"/>
      <c r="F69" s="225"/>
      <c r="G69" s="236"/>
      <c r="H69" s="120" t="s">
        <v>28</v>
      </c>
      <c r="I69" s="85">
        <v>-0.9</v>
      </c>
      <c r="J69" s="85">
        <v>-2</v>
      </c>
      <c r="K69" s="85">
        <v>-2.1</v>
      </c>
      <c r="L69" s="93">
        <f t="shared" si="8"/>
        <v>-5</v>
      </c>
      <c r="M69" s="85">
        <v>-0.3</v>
      </c>
      <c r="N69" s="78">
        <v>-4.9000000000000004</v>
      </c>
      <c r="O69" s="85">
        <v>-1.4</v>
      </c>
      <c r="P69" s="109">
        <f t="shared" si="9"/>
        <v>-6.6</v>
      </c>
      <c r="Q69" s="78">
        <v>-2.5966383699999951</v>
      </c>
      <c r="R69" s="114">
        <v>-1.9914661799999958</v>
      </c>
      <c r="S69" s="114">
        <v>-1.3553245499999957</v>
      </c>
      <c r="T69" s="235">
        <f t="shared" si="10"/>
        <v>-5.943429099999987</v>
      </c>
      <c r="U69" s="70"/>
      <c r="V69" s="70"/>
      <c r="W69" s="70"/>
      <c r="X69" s="233">
        <f t="shared" si="11"/>
        <v>0</v>
      </c>
    </row>
    <row r="94" spans="14:14" ht="15" customHeight="1" x14ac:dyDescent="0.25">
      <c r="N94" s="40">
        <f>SUM(L66:N66)-SUM(L65:N65)</f>
        <v>-0.10000000000000009</v>
      </c>
    </row>
    <row r="95" spans="14:14" ht="15" customHeight="1" x14ac:dyDescent="0.25">
      <c r="N95" s="40">
        <f>SUM(L69:N69)-SUM(L68:N68)</f>
        <v>-0.5</v>
      </c>
    </row>
  </sheetData>
  <mergeCells count="127">
    <mergeCell ref="F67:F69"/>
    <mergeCell ref="G67:G69"/>
    <mergeCell ref="G64:G66"/>
    <mergeCell ref="M62:O62"/>
    <mergeCell ref="Q62:S62"/>
    <mergeCell ref="G61:G63"/>
    <mergeCell ref="F58:F60"/>
    <mergeCell ref="G58:G60"/>
    <mergeCell ref="I62:K62"/>
    <mergeCell ref="F64:F66"/>
    <mergeCell ref="F61:F63"/>
    <mergeCell ref="C64:C66"/>
    <mergeCell ref="D64:D66"/>
    <mergeCell ref="E64:E66"/>
    <mergeCell ref="C55:C57"/>
    <mergeCell ref="D55:D57"/>
    <mergeCell ref="E55:E57"/>
    <mergeCell ref="C61:C63"/>
    <mergeCell ref="B61:B69"/>
    <mergeCell ref="C67:C69"/>
    <mergeCell ref="D67:D69"/>
    <mergeCell ref="E67:E69"/>
    <mergeCell ref="D61:D63"/>
    <mergeCell ref="E61:E63"/>
    <mergeCell ref="E58:E60"/>
    <mergeCell ref="G13:G15"/>
    <mergeCell ref="B58:B60"/>
    <mergeCell ref="C58:C60"/>
    <mergeCell ref="D58:D60"/>
    <mergeCell ref="B19:B33"/>
    <mergeCell ref="C34:C36"/>
    <mergeCell ref="D34:D36"/>
    <mergeCell ref="B34:B57"/>
    <mergeCell ref="F55:F57"/>
    <mergeCell ref="F49:F51"/>
    <mergeCell ref="C52:C54"/>
    <mergeCell ref="D52:D54"/>
    <mergeCell ref="E52:E54"/>
    <mergeCell ref="C25:C27"/>
    <mergeCell ref="D25:D27"/>
    <mergeCell ref="E25:E27"/>
    <mergeCell ref="F25:F27"/>
    <mergeCell ref="G25:G27"/>
    <mergeCell ref="C40:C42"/>
    <mergeCell ref="D40:D42"/>
    <mergeCell ref="E40:E42"/>
    <mergeCell ref="B4:B18"/>
    <mergeCell ref="C31:C33"/>
    <mergeCell ref="C10:C12"/>
    <mergeCell ref="I2:X2"/>
    <mergeCell ref="C49:C51"/>
    <mergeCell ref="D49:D51"/>
    <mergeCell ref="E49:E51"/>
    <mergeCell ref="C4:C6"/>
    <mergeCell ref="D31:D33"/>
    <mergeCell ref="E31:E33"/>
    <mergeCell ref="D4:D6"/>
    <mergeCell ref="E4:E6"/>
    <mergeCell ref="D16:D18"/>
    <mergeCell ref="G4:G6"/>
    <mergeCell ref="C13:C15"/>
    <mergeCell ref="D13:D15"/>
    <mergeCell ref="E13:E15"/>
    <mergeCell ref="F10:F12"/>
    <mergeCell ref="G10:G12"/>
    <mergeCell ref="F7:F9"/>
    <mergeCell ref="G31:G33"/>
    <mergeCell ref="F4:F6"/>
    <mergeCell ref="F16:F18"/>
    <mergeCell ref="G7:G9"/>
    <mergeCell ref="G34:G36"/>
    <mergeCell ref="G16:G18"/>
    <mergeCell ref="F13:F15"/>
    <mergeCell ref="D10:D12"/>
    <mergeCell ref="E10:E12"/>
    <mergeCell ref="C7:C9"/>
    <mergeCell ref="D7:D9"/>
    <mergeCell ref="E7:E9"/>
    <mergeCell ref="C22:C24"/>
    <mergeCell ref="D22:D24"/>
    <mergeCell ref="E22:E24"/>
    <mergeCell ref="C28:C30"/>
    <mergeCell ref="D28:D30"/>
    <mergeCell ref="E28:E30"/>
    <mergeCell ref="M56:O56"/>
    <mergeCell ref="I56:K56"/>
    <mergeCell ref="Q56:S56"/>
    <mergeCell ref="U56:W56"/>
    <mergeCell ref="M53:O53"/>
    <mergeCell ref="Q53:S53"/>
    <mergeCell ref="U53:W53"/>
    <mergeCell ref="E34:E36"/>
    <mergeCell ref="F34:F36"/>
    <mergeCell ref="F52:F54"/>
    <mergeCell ref="G52:G54"/>
    <mergeCell ref="F40:F42"/>
    <mergeCell ref="G40:G42"/>
    <mergeCell ref="E43:E45"/>
    <mergeCell ref="F43:F45"/>
    <mergeCell ref="G43:G45"/>
    <mergeCell ref="E37:E39"/>
    <mergeCell ref="F37:F39"/>
    <mergeCell ref="G37:G39"/>
    <mergeCell ref="G19:G21"/>
    <mergeCell ref="E16:E18"/>
    <mergeCell ref="C16:C18"/>
    <mergeCell ref="C19:C21"/>
    <mergeCell ref="D19:D21"/>
    <mergeCell ref="E19:E21"/>
    <mergeCell ref="G49:G51"/>
    <mergeCell ref="I53:K53"/>
    <mergeCell ref="G55:G57"/>
    <mergeCell ref="G22:G24"/>
    <mergeCell ref="C37:C39"/>
    <mergeCell ref="D37:D39"/>
    <mergeCell ref="F19:F21"/>
    <mergeCell ref="F22:F24"/>
    <mergeCell ref="F31:F33"/>
    <mergeCell ref="C43:C45"/>
    <mergeCell ref="D43:D45"/>
    <mergeCell ref="F28:F30"/>
    <mergeCell ref="G28:G30"/>
    <mergeCell ref="C46:C48"/>
    <mergeCell ref="D46:D48"/>
    <mergeCell ref="E46:E48"/>
    <mergeCell ref="F46:F48"/>
    <mergeCell ref="G46:G48"/>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1562A-E356-4B2D-A63C-39D2CDCD6A5B}">
  <dimension ref="A1:F16"/>
  <sheetViews>
    <sheetView workbookViewId="0">
      <selection activeCell="A17" sqref="A17"/>
    </sheetView>
  </sheetViews>
  <sheetFormatPr defaultColWidth="9.140625" defaultRowHeight="15" x14ac:dyDescent="0.25"/>
  <cols>
    <col min="1" max="1" width="71.5703125" style="31" customWidth="1"/>
    <col min="2" max="2" width="77.5703125" style="31" customWidth="1"/>
    <col min="3" max="3" width="31.42578125" style="31" customWidth="1"/>
    <col min="4" max="16384" width="9.140625" style="31"/>
  </cols>
  <sheetData>
    <row r="1" spans="1:6" x14ac:dyDescent="0.25">
      <c r="A1" s="32" t="s">
        <v>80</v>
      </c>
      <c r="B1" s="32" t="s">
        <v>81</v>
      </c>
    </row>
    <row r="3" spans="1:6" ht="30" x14ac:dyDescent="0.25">
      <c r="A3" s="31" t="s">
        <v>82</v>
      </c>
      <c r="B3" s="31" t="s">
        <v>83</v>
      </c>
    </row>
    <row r="4" spans="1:6" x14ac:dyDescent="0.25">
      <c r="A4" s="41" t="s">
        <v>84</v>
      </c>
      <c r="B4" s="41" t="s">
        <v>85</v>
      </c>
    </row>
    <row r="5" spans="1:6" ht="30" x14ac:dyDescent="0.25">
      <c r="A5" s="41" t="s">
        <v>86</v>
      </c>
      <c r="B5" s="41" t="s">
        <v>87</v>
      </c>
    </row>
    <row r="6" spans="1:6" x14ac:dyDescent="0.25">
      <c r="A6" s="59" t="s">
        <v>88</v>
      </c>
      <c r="B6" s="59" t="s">
        <v>89</v>
      </c>
    </row>
    <row r="7" spans="1:6" x14ac:dyDescent="0.25">
      <c r="A7" s="31" t="s">
        <v>90</v>
      </c>
      <c r="B7" s="31" t="s">
        <v>91</v>
      </c>
    </row>
    <row r="8" spans="1:6" ht="15.75" x14ac:dyDescent="0.25">
      <c r="A8" s="60" t="s">
        <v>92</v>
      </c>
      <c r="B8" s="60"/>
      <c r="C8" s="30"/>
      <c r="D8" s="30"/>
      <c r="E8" s="30"/>
      <c r="F8" s="30"/>
    </row>
    <row r="9" spans="1:6" ht="15.75" x14ac:dyDescent="0.25">
      <c r="A9" s="60" t="s">
        <v>93</v>
      </c>
      <c r="B9" s="60"/>
      <c r="C9" s="30"/>
      <c r="D9" s="30"/>
      <c r="E9" s="30"/>
      <c r="F9" s="30"/>
    </row>
    <row r="10" spans="1:6" ht="78.75" x14ac:dyDescent="0.25">
      <c r="A10" s="42" t="s">
        <v>94</v>
      </c>
      <c r="B10" s="42" t="s">
        <v>95</v>
      </c>
      <c r="C10" s="30"/>
      <c r="D10" s="30"/>
      <c r="E10" s="30"/>
      <c r="F10" s="30"/>
    </row>
    <row r="11" spans="1:6" ht="47.25" x14ac:dyDescent="0.25">
      <c r="A11" s="42" t="s">
        <v>96</v>
      </c>
      <c r="B11" s="42" t="s">
        <v>97</v>
      </c>
      <c r="C11" s="30"/>
      <c r="D11" s="30"/>
      <c r="E11" s="30"/>
      <c r="F11" s="30"/>
    </row>
    <row r="12" spans="1:6" ht="15.75" x14ac:dyDescent="0.25">
      <c r="A12" s="59" t="s">
        <v>98</v>
      </c>
      <c r="C12" s="30"/>
    </row>
    <row r="13" spans="1:6" x14ac:dyDescent="0.25">
      <c r="A13" s="59" t="s">
        <v>99</v>
      </c>
    </row>
    <row r="14" spans="1:6" ht="15.75" x14ac:dyDescent="0.25">
      <c r="A14" s="31" t="s">
        <v>100</v>
      </c>
      <c r="C14" s="30"/>
      <c r="D14" s="30"/>
    </row>
    <row r="16" spans="1:6" x14ac:dyDescent="0.25">
      <c r="A16" s="31" t="s">
        <v>101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B5036-8F66-4319-848F-CAD3FAB6DF02}">
  <dimension ref="A1:F45"/>
  <sheetViews>
    <sheetView workbookViewId="0">
      <selection activeCell="E26" sqref="E26"/>
    </sheetView>
  </sheetViews>
  <sheetFormatPr defaultRowHeight="15" outlineLevelRow="1" x14ac:dyDescent="0.25"/>
  <cols>
    <col min="2" max="3" width="19.5703125" bestFit="1" customWidth="1"/>
    <col min="4" max="4" width="19.5703125" customWidth="1"/>
    <col min="5" max="5" width="16" bestFit="1" customWidth="1"/>
  </cols>
  <sheetData>
    <row r="1" spans="1:6" x14ac:dyDescent="0.25">
      <c r="F1" t="s">
        <v>102</v>
      </c>
    </row>
    <row r="2" spans="1:6" x14ac:dyDescent="0.25">
      <c r="B2" s="4" t="s">
        <v>103</v>
      </c>
    </row>
    <row r="3" spans="1:6" x14ac:dyDescent="0.25">
      <c r="B3" s="4" t="s">
        <v>104</v>
      </c>
      <c r="C3" s="4" t="s">
        <v>105</v>
      </c>
      <c r="D3" s="4" t="s">
        <v>106</v>
      </c>
      <c r="E3" s="4" t="s">
        <v>107</v>
      </c>
    </row>
    <row r="4" spans="1:6" outlineLevel="1" x14ac:dyDescent="0.25">
      <c r="A4">
        <v>1</v>
      </c>
      <c r="B4" s="2" t="s">
        <v>108</v>
      </c>
    </row>
    <row r="5" spans="1:6" outlineLevel="1" x14ac:dyDescent="0.25">
      <c r="B5" t="s">
        <v>109</v>
      </c>
      <c r="C5" s="3" t="s">
        <v>110</v>
      </c>
      <c r="D5" s="2"/>
      <c r="E5" s="2"/>
    </row>
    <row r="6" spans="1:6" outlineLevel="1" x14ac:dyDescent="0.25">
      <c r="B6" t="s">
        <v>111</v>
      </c>
      <c r="C6" s="3" t="s">
        <v>112</v>
      </c>
      <c r="D6" s="2"/>
      <c r="E6" s="2"/>
    </row>
    <row r="7" spans="1:6" outlineLevel="1" x14ac:dyDescent="0.25">
      <c r="B7" t="s">
        <v>113</v>
      </c>
      <c r="C7" s="3" t="s">
        <v>114</v>
      </c>
      <c r="D7" s="1"/>
      <c r="E7" s="1"/>
    </row>
    <row r="8" spans="1:6" outlineLevel="1" x14ac:dyDescent="0.25">
      <c r="B8" s="2"/>
      <c r="D8" s="2"/>
    </row>
    <row r="9" spans="1:6" outlineLevel="1" x14ac:dyDescent="0.25">
      <c r="B9" s="2"/>
      <c r="D9" s="2"/>
    </row>
    <row r="10" spans="1:6" outlineLevel="1" x14ac:dyDescent="0.25">
      <c r="A10">
        <v>2</v>
      </c>
      <c r="B10" s="2"/>
      <c r="D10" s="2"/>
    </row>
    <row r="11" spans="1:6" outlineLevel="1" x14ac:dyDescent="0.25">
      <c r="A11">
        <v>3</v>
      </c>
      <c r="B11" s="2"/>
      <c r="D11" s="2"/>
    </row>
    <row r="12" spans="1:6" outlineLevel="1" x14ac:dyDescent="0.25">
      <c r="A12">
        <v>4</v>
      </c>
      <c r="B12" s="2"/>
      <c r="D12" s="2"/>
    </row>
    <row r="13" spans="1:6" outlineLevel="1" x14ac:dyDescent="0.25">
      <c r="A13">
        <v>5</v>
      </c>
      <c r="B13" s="2"/>
      <c r="D13" s="2"/>
    </row>
    <row r="14" spans="1:6" outlineLevel="1" x14ac:dyDescent="0.25">
      <c r="A14">
        <v>6</v>
      </c>
      <c r="B14" s="2"/>
      <c r="D14" s="2"/>
    </row>
    <row r="15" spans="1:6" outlineLevel="1" x14ac:dyDescent="0.25">
      <c r="A15">
        <v>7</v>
      </c>
      <c r="B15" s="2"/>
      <c r="D15" s="2"/>
    </row>
    <row r="16" spans="1:6" outlineLevel="1" x14ac:dyDescent="0.25">
      <c r="A16">
        <v>8</v>
      </c>
      <c r="B16" s="2"/>
      <c r="D16" s="2"/>
    </row>
    <row r="17" spans="1:4" outlineLevel="1" x14ac:dyDescent="0.25">
      <c r="A17">
        <v>9</v>
      </c>
      <c r="B17" s="2"/>
      <c r="D17" s="2"/>
    </row>
    <row r="18" spans="1:4" outlineLevel="1" x14ac:dyDescent="0.25">
      <c r="A18">
        <v>10</v>
      </c>
      <c r="B18" s="2"/>
      <c r="D18" s="2"/>
    </row>
    <row r="19" spans="1:4" outlineLevel="1" x14ac:dyDescent="0.25">
      <c r="A19">
        <v>11</v>
      </c>
      <c r="B19" s="2"/>
      <c r="D19" s="2"/>
    </row>
    <row r="20" spans="1:4" outlineLevel="1" x14ac:dyDescent="0.25">
      <c r="A20">
        <v>12</v>
      </c>
      <c r="B20" s="2"/>
      <c r="D20" s="2"/>
    </row>
    <row r="21" spans="1:4" outlineLevel="1" x14ac:dyDescent="0.25">
      <c r="A21">
        <v>13</v>
      </c>
      <c r="B21" s="2"/>
      <c r="D21" s="2"/>
    </row>
    <row r="22" spans="1:4" outlineLevel="1" x14ac:dyDescent="0.25">
      <c r="A22">
        <v>14</v>
      </c>
      <c r="B22" s="2"/>
      <c r="D22" s="2"/>
    </row>
    <row r="23" spans="1:4" outlineLevel="1" x14ac:dyDescent="0.25">
      <c r="A23">
        <v>15</v>
      </c>
      <c r="B23" s="2"/>
      <c r="D23" s="2"/>
    </row>
    <row r="24" spans="1:4" outlineLevel="1" x14ac:dyDescent="0.25">
      <c r="A24">
        <v>16</v>
      </c>
      <c r="B24" s="2"/>
      <c r="D24" s="2"/>
    </row>
    <row r="25" spans="1:4" outlineLevel="1" x14ac:dyDescent="0.25">
      <c r="A25">
        <v>17</v>
      </c>
      <c r="B25" s="2"/>
      <c r="D25" s="2"/>
    </row>
    <row r="26" spans="1:4" x14ac:dyDescent="0.25">
      <c r="B26" t="s">
        <v>106</v>
      </c>
      <c r="D26" t="s">
        <v>106</v>
      </c>
    </row>
    <row r="27" spans="1:4" x14ac:dyDescent="0.25">
      <c r="A27">
        <v>1</v>
      </c>
    </row>
    <row r="28" spans="1:4" x14ac:dyDescent="0.25">
      <c r="A28">
        <v>2</v>
      </c>
    </row>
    <row r="29" spans="1:4" x14ac:dyDescent="0.25">
      <c r="A29">
        <v>3</v>
      </c>
    </row>
    <row r="30" spans="1:4" x14ac:dyDescent="0.25">
      <c r="A30">
        <v>4</v>
      </c>
    </row>
    <row r="31" spans="1:4" x14ac:dyDescent="0.25">
      <c r="A31">
        <v>5</v>
      </c>
    </row>
    <row r="32" spans="1:4" x14ac:dyDescent="0.25">
      <c r="A32">
        <v>6</v>
      </c>
    </row>
    <row r="33" spans="1:3" x14ac:dyDescent="0.25">
      <c r="A33">
        <v>7</v>
      </c>
    </row>
    <row r="34" spans="1:3" x14ac:dyDescent="0.25">
      <c r="A34">
        <v>8</v>
      </c>
    </row>
    <row r="35" spans="1:3" x14ac:dyDescent="0.25">
      <c r="A35">
        <v>9</v>
      </c>
    </row>
    <row r="36" spans="1:3" x14ac:dyDescent="0.25">
      <c r="A36">
        <v>10</v>
      </c>
    </row>
    <row r="37" spans="1:3" x14ac:dyDescent="0.25">
      <c r="A37">
        <v>11</v>
      </c>
    </row>
    <row r="38" spans="1:3" x14ac:dyDescent="0.25">
      <c r="A38">
        <v>12</v>
      </c>
    </row>
    <row r="39" spans="1:3" x14ac:dyDescent="0.25">
      <c r="A39">
        <v>13</v>
      </c>
    </row>
    <row r="40" spans="1:3" x14ac:dyDescent="0.25">
      <c r="A40">
        <v>14</v>
      </c>
    </row>
    <row r="41" spans="1:3" x14ac:dyDescent="0.25">
      <c r="A41">
        <v>15</v>
      </c>
    </row>
    <row r="42" spans="1:3" x14ac:dyDescent="0.25">
      <c r="A42">
        <v>16</v>
      </c>
    </row>
    <row r="43" spans="1:3" x14ac:dyDescent="0.25">
      <c r="A43">
        <v>17</v>
      </c>
    </row>
    <row r="44" spans="1:3" x14ac:dyDescent="0.25">
      <c r="B44" t="s">
        <v>115</v>
      </c>
      <c r="C44" t="s">
        <v>115</v>
      </c>
    </row>
    <row r="45" spans="1:3" x14ac:dyDescent="0.25">
      <c r="A45" t="s">
        <v>65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Bowler L1 Training</vt:lpstr>
      <vt:lpstr>Future ideas</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Collu, Simone (GE Power)</dc:creator>
  <cp:keywords/>
  <dc:description/>
  <cp:lastModifiedBy>Vishal Suresh(FieldCore)</cp:lastModifiedBy>
  <cp:revision/>
  <dcterms:created xsi:type="dcterms:W3CDTF">2019-07-14T14:23:57Z</dcterms:created>
  <dcterms:modified xsi:type="dcterms:W3CDTF">2026-10-23T10:06:03Z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